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3250" windowHeight="1245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7" i="1"/>
  <c r="A16"/>
  <c r="E28"/>
  <c r="E26"/>
  <c r="E25"/>
  <c r="E17"/>
  <c r="E10"/>
  <c r="E21" s="1"/>
  <c r="E22" s="1"/>
  <c r="D23" s="1"/>
  <c r="B24"/>
  <c r="B17"/>
  <c r="B11"/>
  <c r="B10"/>
  <c r="B12" s="1"/>
  <c r="B13" s="1"/>
  <c r="B14" s="1"/>
  <c r="E11" l="1"/>
  <c r="B21"/>
  <c r="E14" l="1"/>
  <c r="E15" s="1"/>
  <c r="D18" s="1"/>
  <c r="B23"/>
</calcChain>
</file>

<file path=xl/sharedStrings.xml><?xml version="1.0" encoding="utf-8"?>
<sst xmlns="http://schemas.openxmlformats.org/spreadsheetml/2006/main" count="67" uniqueCount="57">
  <si>
    <t>DESIGN OF R.C. ISOLATED FOOTING</t>
  </si>
  <si>
    <t xml:space="preserve">1) INPUT </t>
  </si>
  <si>
    <t>2) REQUIRED PLAN AREA</t>
  </si>
  <si>
    <t>provide footing of size</t>
  </si>
  <si>
    <t xml:space="preserve">3)Net Upward Pressure (Factored) </t>
  </si>
  <si>
    <t>KN</t>
  </si>
  <si>
    <t>m</t>
  </si>
  <si>
    <t>sqm</t>
  </si>
  <si>
    <t>Size of Column</t>
  </si>
  <si>
    <t>a=</t>
  </si>
  <si>
    <t>mm</t>
  </si>
  <si>
    <t>b=</t>
  </si>
  <si>
    <t>6) Depth from Bending</t>
  </si>
  <si>
    <t>"L"m</t>
  </si>
  <si>
    <t>"B"m</t>
  </si>
  <si>
    <t>4) Depth From One way shear</t>
  </si>
  <si>
    <t>N/sqmm</t>
  </si>
  <si>
    <t>d1=</t>
  </si>
  <si>
    <t>5)Depth from Two way Shear</t>
  </si>
  <si>
    <t>S.F at critical section</t>
  </si>
  <si>
    <t>Permissible Shear Stress (.25xsqrt(fck))=</t>
  </si>
  <si>
    <t>with 0.20% steel "Նc ="</t>
  </si>
  <si>
    <t>KN/Sqm</t>
  </si>
  <si>
    <t>kN</t>
  </si>
  <si>
    <t>N/Sq mm</t>
  </si>
  <si>
    <t>Two way Shear resistance</t>
  </si>
  <si>
    <t>&lt;=applied</t>
  </si>
  <si>
    <t>d2=</t>
  </si>
  <si>
    <t>Mu</t>
  </si>
  <si>
    <t>KNm</t>
  </si>
  <si>
    <t>d3</t>
  </si>
  <si>
    <t xml:space="preserve">d required </t>
  </si>
  <si>
    <t>Overall depth suggested</t>
  </si>
  <si>
    <t>Provided Overall depth</t>
  </si>
  <si>
    <t xml:space="preserve">Final Effective depth </t>
  </si>
  <si>
    <t>Mu/bd^2</t>
  </si>
  <si>
    <t>N/mm^2</t>
  </si>
  <si>
    <t>Steel in %</t>
  </si>
  <si>
    <t xml:space="preserve">Area of bar </t>
  </si>
  <si>
    <t>%</t>
  </si>
  <si>
    <t>Sqmm</t>
  </si>
  <si>
    <t>Area required</t>
  </si>
  <si>
    <t>sqmm</t>
  </si>
  <si>
    <t>Spacing Required for 16mm bar</t>
  </si>
  <si>
    <t>LOAD FROM THE COLUMN (KN)</t>
  </si>
  <si>
    <t>fck(N/sqmm)</t>
  </si>
  <si>
    <t>fy(N/sqmm)</t>
  </si>
  <si>
    <t>Clear Cover(mm)</t>
  </si>
  <si>
    <t>Bar Dia(mm)</t>
  </si>
  <si>
    <t>SBC OF SOIL(KM/sqm)</t>
  </si>
  <si>
    <t>Load from column (KN)</t>
  </si>
  <si>
    <t>Suggested size of footing</t>
  </si>
  <si>
    <t>Area of footing required</t>
  </si>
  <si>
    <t>Total load on footing</t>
  </si>
  <si>
    <t>Self wt of footing(10%)</t>
  </si>
  <si>
    <t>7)Fixing overall depth of foooting</t>
  </si>
  <si>
    <t>8)Reinforcemnet required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</si>
</sst>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2" borderId="1" xfId="0" applyNumberFormat="1" applyFill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0" xfId="0" applyBorder="1"/>
    <xf numFmtId="0" fontId="0" fillId="0" borderId="11" xfId="0" applyBorder="1" applyAlignment="1">
      <alignment horizontal="left"/>
    </xf>
    <xf numFmtId="2" fontId="0" fillId="0" borderId="0" xfId="0" applyNumberFormat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3" borderId="6" xfId="0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21" xfId="0" applyBorder="1" applyAlignment="1">
      <alignment horizontal="left"/>
    </xf>
    <xf numFmtId="2" fontId="0" fillId="2" borderId="22" xfId="0" applyNumberFormat="1" applyFill="1" applyBorder="1" applyAlignment="1">
      <alignment horizontal="left"/>
    </xf>
    <xf numFmtId="0" fontId="0" fillId="0" borderId="12" xfId="0" applyBorder="1" applyAlignment="1">
      <alignment horizontal="left"/>
    </xf>
    <xf numFmtId="2" fontId="0" fillId="2" borderId="2" xfId="0" applyNumberFormat="1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3" borderId="23" xfId="0" applyFill="1" applyBorder="1" applyAlignment="1">
      <alignment horizontal="left"/>
    </xf>
    <xf numFmtId="2" fontId="0" fillId="0" borderId="26" xfId="0" applyNumberFormat="1" applyBorder="1" applyAlignment="1">
      <alignment horizontal="left"/>
    </xf>
    <xf numFmtId="0" fontId="0" fillId="0" borderId="24" xfId="0" applyBorder="1" applyAlignment="1">
      <alignment horizontal="left"/>
    </xf>
    <xf numFmtId="0" fontId="0" fillId="4" borderId="21" xfId="0" applyFill="1" applyBorder="1" applyAlignment="1">
      <alignment horizontal="left"/>
    </xf>
    <xf numFmtId="2" fontId="0" fillId="0" borderId="22" xfId="0" applyNumberFormat="1" applyBorder="1" applyAlignment="1">
      <alignment horizontal="left"/>
    </xf>
    <xf numFmtId="0" fontId="0" fillId="0" borderId="25" xfId="0" applyBorder="1" applyAlignment="1">
      <alignment horizontal="left"/>
    </xf>
    <xf numFmtId="0" fontId="0" fillId="3" borderId="27" xfId="0" applyFill="1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0" xfId="0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32" xfId="0" applyBorder="1" applyAlignment="1">
      <alignment horizontal="left"/>
    </xf>
    <xf numFmtId="0" fontId="0" fillId="4" borderId="11" xfId="0" applyFill="1" applyBorder="1" applyAlignment="1">
      <alignment horizontal="left"/>
    </xf>
    <xf numFmtId="2" fontId="0" fillId="2" borderId="28" xfId="0" applyNumberFormat="1" applyFill="1" applyBorder="1" applyAlignment="1">
      <alignment horizontal="left"/>
    </xf>
    <xf numFmtId="2" fontId="0" fillId="0" borderId="1" xfId="0" applyNumberFormat="1" applyFill="1" applyBorder="1" applyAlignment="1">
      <alignment horizontal="left"/>
    </xf>
    <xf numFmtId="2" fontId="0" fillId="0" borderId="3" xfId="0" applyNumberFormat="1" applyFill="1" applyBorder="1" applyAlignment="1">
      <alignment horizontal="left"/>
    </xf>
    <xf numFmtId="2" fontId="0" fillId="0" borderId="26" xfId="0" applyNumberFormat="1" applyFill="1" applyBorder="1" applyAlignment="1">
      <alignment horizontal="left"/>
    </xf>
    <xf numFmtId="0" fontId="1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20" xfId="0" applyFill="1" applyBorder="1" applyAlignment="1">
      <alignment horizontal="left"/>
    </xf>
    <xf numFmtId="0" fontId="0" fillId="3" borderId="23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3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zoomScale="87" workbookViewId="0">
      <selection activeCell="K13" sqref="K13"/>
    </sheetView>
  </sheetViews>
  <sheetFormatPr defaultRowHeight="15"/>
  <cols>
    <col min="1" max="1" width="37.28515625" bestFit="1" customWidth="1"/>
    <col min="3" max="3" width="9.85546875" bestFit="1" customWidth="1"/>
    <col min="4" max="4" width="26.7109375" bestFit="1" customWidth="1"/>
    <col min="5" max="5" width="13.42578125" customWidth="1"/>
  </cols>
  <sheetData>
    <row r="1" spans="1:7" ht="15.75" thickBot="1">
      <c r="A1" s="42" t="s">
        <v>0</v>
      </c>
      <c r="B1" s="43"/>
      <c r="C1" s="43"/>
      <c r="D1" s="43"/>
      <c r="E1" s="43"/>
      <c r="F1" s="43"/>
      <c r="G1" s="44"/>
    </row>
    <row r="2" spans="1:7">
      <c r="A2" s="13" t="s">
        <v>1</v>
      </c>
      <c r="B2" s="14"/>
      <c r="C2" s="14"/>
      <c r="D2" s="14"/>
      <c r="E2" s="15"/>
      <c r="F2" s="5"/>
      <c r="G2" s="6"/>
    </row>
    <row r="3" spans="1:7">
      <c r="A3" s="7" t="s">
        <v>44</v>
      </c>
      <c r="B3" s="4">
        <v>2000</v>
      </c>
      <c r="C3" s="45" t="s">
        <v>8</v>
      </c>
      <c r="D3" s="45"/>
      <c r="E3" s="46"/>
      <c r="F3" s="5"/>
      <c r="G3" s="6"/>
    </row>
    <row r="4" spans="1:7">
      <c r="A4" s="7" t="s">
        <v>45</v>
      </c>
      <c r="B4" s="4">
        <v>25</v>
      </c>
      <c r="C4" s="2" t="s">
        <v>9</v>
      </c>
      <c r="D4" s="3">
        <v>400</v>
      </c>
      <c r="E4" s="16" t="s">
        <v>10</v>
      </c>
      <c r="F4" s="5"/>
      <c r="G4" s="6"/>
    </row>
    <row r="5" spans="1:7">
      <c r="A5" s="7" t="s">
        <v>46</v>
      </c>
      <c r="B5" s="4">
        <v>415</v>
      </c>
      <c r="C5" s="2" t="s">
        <v>11</v>
      </c>
      <c r="D5" s="3">
        <v>400</v>
      </c>
      <c r="E5" s="16" t="s">
        <v>10</v>
      </c>
      <c r="F5" s="5"/>
      <c r="G5" s="6"/>
    </row>
    <row r="6" spans="1:7">
      <c r="A6" s="7" t="s">
        <v>47</v>
      </c>
      <c r="B6" s="4">
        <v>50</v>
      </c>
      <c r="C6" s="5"/>
      <c r="D6" s="5"/>
      <c r="E6" s="17"/>
      <c r="F6" s="5"/>
      <c r="G6" s="6"/>
    </row>
    <row r="7" spans="1:7">
      <c r="A7" s="7" t="s">
        <v>48</v>
      </c>
      <c r="B7" s="4">
        <v>16</v>
      </c>
      <c r="C7" s="5"/>
      <c r="D7" s="5"/>
      <c r="E7" s="17"/>
      <c r="F7" s="5"/>
      <c r="G7" s="6"/>
    </row>
    <row r="8" spans="1:7" ht="15.75" thickBot="1">
      <c r="A8" s="20" t="s">
        <v>49</v>
      </c>
      <c r="B8" s="21">
        <v>200</v>
      </c>
      <c r="C8" s="5"/>
      <c r="D8" s="5"/>
      <c r="E8" s="17"/>
      <c r="F8" s="5"/>
      <c r="G8" s="6"/>
    </row>
    <row r="9" spans="1:7">
      <c r="A9" s="25" t="s">
        <v>2</v>
      </c>
      <c r="B9" s="26"/>
      <c r="C9" s="34"/>
      <c r="D9" s="47" t="s">
        <v>12</v>
      </c>
      <c r="E9" s="48"/>
      <c r="F9" s="49"/>
      <c r="G9" s="6"/>
    </row>
    <row r="10" spans="1:7">
      <c r="A10" s="7" t="s">
        <v>50</v>
      </c>
      <c r="B10" s="4">
        <f>B3</f>
        <v>2000</v>
      </c>
      <c r="C10" s="23"/>
      <c r="D10" s="7" t="s">
        <v>28</v>
      </c>
      <c r="E10" s="4">
        <f>B17*B15*0.125*(B15-D4/1000)^2</f>
        <v>686.42857142857156</v>
      </c>
      <c r="F10" s="16" t="s">
        <v>29</v>
      </c>
      <c r="G10" s="6"/>
    </row>
    <row r="11" spans="1:7">
      <c r="A11" s="7" t="s">
        <v>54</v>
      </c>
      <c r="B11" s="4">
        <f>B3*10/100</f>
        <v>200</v>
      </c>
      <c r="C11" s="23"/>
      <c r="D11" s="7" t="s">
        <v>30</v>
      </c>
      <c r="E11" s="4">
        <f>SQRT(E10*10^6/(0.138*B15*B4*1000))/1000</f>
        <v>0.23842627091147331</v>
      </c>
      <c r="F11" s="16" t="s">
        <v>6</v>
      </c>
      <c r="G11" s="6"/>
    </row>
    <row r="12" spans="1:7">
      <c r="A12" s="7" t="s">
        <v>53</v>
      </c>
      <c r="B12" s="4">
        <f>B10+B11</f>
        <v>2200</v>
      </c>
      <c r="C12" s="23" t="s">
        <v>5</v>
      </c>
      <c r="D12" s="7"/>
      <c r="E12" s="39"/>
      <c r="F12" s="16"/>
      <c r="G12" s="6"/>
    </row>
    <row r="13" spans="1:7">
      <c r="A13" s="7" t="s">
        <v>52</v>
      </c>
      <c r="B13" s="4">
        <f>B12/B8</f>
        <v>11</v>
      </c>
      <c r="C13" s="23" t="s">
        <v>7</v>
      </c>
      <c r="D13" s="50" t="s">
        <v>55</v>
      </c>
      <c r="E13" s="51"/>
      <c r="F13" s="52"/>
      <c r="G13" s="6"/>
    </row>
    <row r="14" spans="1:7">
      <c r="A14" s="7" t="s">
        <v>51</v>
      </c>
      <c r="B14" s="4">
        <f>SQRT(B13)</f>
        <v>3.3166247903553998</v>
      </c>
      <c r="C14" s="23" t="s">
        <v>6</v>
      </c>
      <c r="D14" s="7" t="s">
        <v>31</v>
      </c>
      <c r="E14" s="4">
        <f>MAX(B21,B26,E11)</f>
        <v>0.51828631138975967</v>
      </c>
      <c r="F14" s="16" t="s">
        <v>6</v>
      </c>
      <c r="G14" s="6"/>
    </row>
    <row r="15" spans="1:7">
      <c r="A15" s="7" t="s">
        <v>3</v>
      </c>
      <c r="B15" s="4">
        <v>3.5</v>
      </c>
      <c r="C15" s="24">
        <v>3.5</v>
      </c>
      <c r="D15" s="7" t="s">
        <v>32</v>
      </c>
      <c r="E15" s="4">
        <f>E14+B6/1000+0.5*B7/1000</f>
        <v>0.57628631138975972</v>
      </c>
      <c r="F15" s="16" t="s">
        <v>6</v>
      </c>
      <c r="G15" s="6"/>
    </row>
    <row r="16" spans="1:7" ht="15.75" thickBot="1">
      <c r="A16" s="28" t="str">
        <f>IF(B15*C15&lt;B13,"False;Change the dimensions","SAFE")</f>
        <v>SAFE</v>
      </c>
      <c r="B16" s="29" t="s">
        <v>13</v>
      </c>
      <c r="C16" s="33" t="s">
        <v>14</v>
      </c>
      <c r="D16" s="7" t="s">
        <v>33</v>
      </c>
      <c r="E16" s="4">
        <v>0.6</v>
      </c>
      <c r="F16" s="16" t="s">
        <v>6</v>
      </c>
      <c r="G16" s="6"/>
    </row>
    <row r="17" spans="1:7" ht="15.75" thickBot="1">
      <c r="A17" s="31" t="s">
        <v>4</v>
      </c>
      <c r="B17" s="38">
        <f>(B3/(B15*C15))</f>
        <v>163.26530612244898</v>
      </c>
      <c r="C17" s="36" t="s">
        <v>22</v>
      </c>
      <c r="D17" s="7" t="s">
        <v>34</v>
      </c>
      <c r="E17" s="4">
        <f>E16-0.5*B7/1000-B6/1000</f>
        <v>0.54199999999999993</v>
      </c>
      <c r="F17" s="16" t="s">
        <v>6</v>
      </c>
      <c r="G17" s="6"/>
    </row>
    <row r="18" spans="1:7" ht="15.75" thickBot="1">
      <c r="A18" s="1"/>
      <c r="B18" s="40"/>
      <c r="C18" s="35"/>
      <c r="D18" s="28" t="str">
        <f>IF(E16&lt;E15,"Correct the depth","SAFE")</f>
        <v>SAFE</v>
      </c>
      <c r="E18" s="29"/>
      <c r="F18" s="30"/>
      <c r="G18" s="6"/>
    </row>
    <row r="19" spans="1:7" ht="15.75" thickBot="1">
      <c r="A19" s="25" t="s">
        <v>15</v>
      </c>
      <c r="B19" s="41"/>
      <c r="C19" s="27"/>
      <c r="D19" s="5"/>
      <c r="E19" s="8"/>
      <c r="F19" s="5"/>
      <c r="G19" s="6"/>
    </row>
    <row r="20" spans="1:7">
      <c r="A20" s="7" t="s">
        <v>21</v>
      </c>
      <c r="B20" s="4">
        <v>0.32500000000000001</v>
      </c>
      <c r="C20" s="23" t="s">
        <v>16</v>
      </c>
      <c r="D20" s="47" t="s">
        <v>56</v>
      </c>
      <c r="E20" s="48"/>
      <c r="F20" s="49"/>
      <c r="G20" s="6"/>
    </row>
    <row r="21" spans="1:7" ht="15.75" thickBot="1">
      <c r="A21" s="18" t="s">
        <v>17</v>
      </c>
      <c r="B21" s="19">
        <f>(B17*(0.5*B15-0.5*D4/1000))/(B20*10^3+B17)</f>
        <v>0.51828631138975967</v>
      </c>
      <c r="C21" s="33" t="s">
        <v>6</v>
      </c>
      <c r="D21" s="7" t="s">
        <v>35</v>
      </c>
      <c r="E21" s="4">
        <f>E10*10^6/(B15*1000*(E17*1000)^2)</f>
        <v>0.66761907170242762</v>
      </c>
      <c r="F21" s="16" t="s">
        <v>36</v>
      </c>
      <c r="G21" s="6"/>
    </row>
    <row r="22" spans="1:7">
      <c r="A22" s="25" t="s">
        <v>18</v>
      </c>
      <c r="B22" s="41"/>
      <c r="C22" s="34"/>
      <c r="D22" s="7" t="s">
        <v>37</v>
      </c>
      <c r="E22" s="4">
        <f>(1-(SQRT(1-((4.598*E21)/B4))))*(B4/(2*B5))*100</f>
        <v>0.19097681514980974</v>
      </c>
      <c r="F22" s="16" t="s">
        <v>39</v>
      </c>
      <c r="G22" s="6"/>
    </row>
    <row r="23" spans="1:7">
      <c r="A23" s="7" t="s">
        <v>19</v>
      </c>
      <c r="B23" s="4">
        <f>B17*((B15*C15)-(D4/1000+B21)*(D5/1000+B21))</f>
        <v>1862.3265714798677</v>
      </c>
      <c r="C23" s="23" t="s">
        <v>23</v>
      </c>
      <c r="D23" s="37" t="str">
        <f>IF(E22&lt;0.25,"SAFE","Change the depth")</f>
        <v>SAFE</v>
      </c>
      <c r="E23" s="39"/>
      <c r="F23" s="16"/>
      <c r="G23" s="6"/>
    </row>
    <row r="24" spans="1:7">
      <c r="A24" s="7" t="s">
        <v>20</v>
      </c>
      <c r="B24" s="4">
        <f>0.25*SQRT(B4)</f>
        <v>1.25</v>
      </c>
      <c r="C24" s="23" t="s">
        <v>24</v>
      </c>
      <c r="D24" s="7"/>
      <c r="E24" s="39"/>
      <c r="F24" s="16"/>
      <c r="G24" s="6"/>
    </row>
    <row r="25" spans="1:7">
      <c r="A25" s="7" t="s">
        <v>25</v>
      </c>
      <c r="B25" s="22" t="s">
        <v>26</v>
      </c>
      <c r="C25" s="23" t="s">
        <v>5</v>
      </c>
      <c r="D25" s="7" t="s">
        <v>38</v>
      </c>
      <c r="E25" s="4">
        <f>3.14*(B7/2)^2</f>
        <v>200.96</v>
      </c>
      <c r="F25" s="16" t="s">
        <v>40</v>
      </c>
      <c r="G25" s="6"/>
    </row>
    <row r="26" spans="1:7">
      <c r="A26" s="7" t="s">
        <v>27</v>
      </c>
      <c r="B26" s="4">
        <v>0.442</v>
      </c>
      <c r="C26" s="23" t="s">
        <v>6</v>
      </c>
      <c r="D26" s="7" t="s">
        <v>41</v>
      </c>
      <c r="E26" s="4">
        <f>(0.2*E17*1000*C15*1000)/100</f>
        <v>3794</v>
      </c>
      <c r="F26" s="16" t="s">
        <v>42</v>
      </c>
      <c r="G26" s="6"/>
    </row>
    <row r="27" spans="1:7" ht="15.75" thickBot="1">
      <c r="A27" s="28" t="str">
        <f>IF(B21&lt;B26,"d=d2","SAFE WITH d")</f>
        <v>SAFE WITH d</v>
      </c>
      <c r="B27" s="32"/>
      <c r="C27" s="33"/>
      <c r="D27" s="7"/>
      <c r="E27" s="39"/>
      <c r="F27" s="16"/>
      <c r="G27" s="6"/>
    </row>
    <row r="28" spans="1:7" ht="15.75" thickBot="1">
      <c r="A28" s="9"/>
      <c r="B28" s="5"/>
      <c r="C28" s="5"/>
      <c r="D28" s="18" t="s">
        <v>43</v>
      </c>
      <c r="E28" s="19">
        <f>1000*(E25/E26)</f>
        <v>52.967843964153928</v>
      </c>
      <c r="F28" s="30" t="s">
        <v>10</v>
      </c>
      <c r="G28" s="6"/>
    </row>
    <row r="29" spans="1:7" ht="15.75" thickBot="1">
      <c r="A29" s="10"/>
      <c r="B29" s="11"/>
      <c r="C29" s="11"/>
      <c r="D29" s="11"/>
      <c r="E29" s="11"/>
      <c r="F29" s="11"/>
      <c r="G29" s="12"/>
    </row>
  </sheetData>
  <mergeCells count="5">
    <mergeCell ref="A1:G1"/>
    <mergeCell ref="C3:E3"/>
    <mergeCell ref="D20:F20"/>
    <mergeCell ref="D9:F9"/>
    <mergeCell ref="D13:F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 LAB</dc:creator>
  <cp:lastModifiedBy>CAD LAB</cp:lastModifiedBy>
  <dcterms:created xsi:type="dcterms:W3CDTF">2025-04-29T09:14:12Z</dcterms:created>
  <dcterms:modified xsi:type="dcterms:W3CDTF">2025-07-24T08:30:04Z</dcterms:modified>
</cp:coreProperties>
</file>