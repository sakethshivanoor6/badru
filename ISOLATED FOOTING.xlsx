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3250" windowHeight="124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/>
  <c r="O40"/>
  <c r="O39"/>
  <c r="O38"/>
  <c r="O37"/>
  <c r="N41"/>
  <c r="N40"/>
  <c r="N39"/>
  <c r="N38"/>
  <c r="N37"/>
  <c r="N36"/>
  <c r="O36"/>
  <c r="R33"/>
  <c r="H16"/>
  <c r="I18"/>
  <c r="F36"/>
  <c r="F32"/>
  <c r="I15" l="1"/>
  <c r="I14"/>
  <c r="E36"/>
  <c r="B35"/>
  <c r="B16"/>
  <c r="B15"/>
  <c r="B17" l="1"/>
  <c r="B18" s="1"/>
  <c r="B19" s="1"/>
  <c r="C20" s="1"/>
  <c r="B20" s="1"/>
  <c r="B24" l="1"/>
  <c r="E15" s="1"/>
  <c r="E16" s="1"/>
  <c r="B26"/>
  <c r="B23"/>
  <c r="B27"/>
  <c r="B28" s="1"/>
  <c r="B31" l="1"/>
  <c r="B34" s="1"/>
  <c r="B37" l="1"/>
  <c r="A38" s="1"/>
  <c r="E19" l="1"/>
  <c r="E20" l="1"/>
  <c r="E22" s="1"/>
  <c r="E24" s="1"/>
  <c r="F24" s="1"/>
  <c r="E37" l="1"/>
  <c r="I32" s="1"/>
  <c r="F31"/>
  <c r="F33" s="1"/>
  <c r="F34" s="1"/>
  <c r="F37"/>
  <c r="J32" s="1"/>
  <c r="J33" s="1"/>
  <c r="J37" l="1"/>
  <c r="J38" s="1"/>
  <c r="J36"/>
  <c r="J39" s="1"/>
  <c r="J40" s="1"/>
  <c r="J34"/>
  <c r="J35" s="1"/>
  <c r="I33"/>
  <c r="D26"/>
  <c r="I9"/>
  <c r="I10" s="1"/>
  <c r="I4"/>
  <c r="I5" s="1"/>
  <c r="I6" s="1"/>
  <c r="E31"/>
  <c r="E33" s="1"/>
  <c r="D34" s="1"/>
  <c r="I37" l="1"/>
  <c r="I39" s="1"/>
  <c r="I40" s="1"/>
  <c r="I36"/>
  <c r="I38" s="1"/>
  <c r="I34"/>
  <c r="I35" s="1"/>
</calcChain>
</file>

<file path=xl/sharedStrings.xml><?xml version="1.0" encoding="utf-8"?>
<sst xmlns="http://schemas.openxmlformats.org/spreadsheetml/2006/main" count="123" uniqueCount="92">
  <si>
    <t>DESIGN OF R.C. ISOLATED FOOTING</t>
  </si>
  <si>
    <t>provide footing of size</t>
  </si>
  <si>
    <t>KN</t>
  </si>
  <si>
    <t>m</t>
  </si>
  <si>
    <t>sqm</t>
  </si>
  <si>
    <t>Size of Column</t>
  </si>
  <si>
    <t>a=</t>
  </si>
  <si>
    <t>mm</t>
  </si>
  <si>
    <t>b=</t>
  </si>
  <si>
    <t>"B"m</t>
  </si>
  <si>
    <t>N/sqmm</t>
  </si>
  <si>
    <t>d1=</t>
  </si>
  <si>
    <t>S.F at critical section</t>
  </si>
  <si>
    <t>Permissible Shear Stress (.25xsqrt(fck))=</t>
  </si>
  <si>
    <t>KN/Sqm</t>
  </si>
  <si>
    <t>kN</t>
  </si>
  <si>
    <t>N/Sq mm</t>
  </si>
  <si>
    <t>Two way Shear resistance</t>
  </si>
  <si>
    <t>&lt;=applied</t>
  </si>
  <si>
    <t>d2=</t>
  </si>
  <si>
    <t>Mu</t>
  </si>
  <si>
    <t>KNm</t>
  </si>
  <si>
    <t>d3</t>
  </si>
  <si>
    <t xml:space="preserve">d required </t>
  </si>
  <si>
    <t>Overall depth suggested</t>
  </si>
  <si>
    <t>Provided Overall depth</t>
  </si>
  <si>
    <t xml:space="preserve">Final Effective depth </t>
  </si>
  <si>
    <t>N/mm^2</t>
  </si>
  <si>
    <t>Steel in %</t>
  </si>
  <si>
    <t xml:space="preserve">Area of bar </t>
  </si>
  <si>
    <t>%</t>
  </si>
  <si>
    <t>Sqmm</t>
  </si>
  <si>
    <t>Area required</t>
  </si>
  <si>
    <t>LOAD FROM THE COLUMN (KN)</t>
  </si>
  <si>
    <t>fck(N/sqmm)</t>
  </si>
  <si>
    <t>fy(N/sqmm)</t>
  </si>
  <si>
    <t>Clear Cover(mm)</t>
  </si>
  <si>
    <t>Bar Dia(mm)</t>
  </si>
  <si>
    <t>SBC OF SOIL(KM/sqm)</t>
  </si>
  <si>
    <t>Load from column (KN)</t>
  </si>
  <si>
    <t>Suggested size of footing</t>
  </si>
  <si>
    <t>Area of footing required</t>
  </si>
  <si>
    <t>Total load on footing</t>
  </si>
  <si>
    <t>Self wt of footing(10%)</t>
  </si>
  <si>
    <t>My</t>
  </si>
  <si>
    <t>Mx</t>
  </si>
  <si>
    <t>"Lf = Bf+bc-dc"m</t>
  </si>
  <si>
    <t>Check for Sbc</t>
  </si>
  <si>
    <t>Pmax</t>
  </si>
  <si>
    <t>Pmin</t>
  </si>
  <si>
    <t>CHECK</t>
  </si>
  <si>
    <t>with 0.25% steel "Նc ="</t>
  </si>
  <si>
    <t>CHECK FOR ONE WAY SHEAR</t>
  </si>
  <si>
    <t>Vu</t>
  </si>
  <si>
    <t>tov</t>
  </si>
  <si>
    <t xml:space="preserve">CHECK </t>
  </si>
  <si>
    <t>CHECK FOR TWO WAY SHEAR</t>
  </si>
  <si>
    <t>TOV</t>
  </si>
  <si>
    <t>CHECK FOR BEARING</t>
  </si>
  <si>
    <t>FBR</t>
  </si>
  <si>
    <t>0.45FCK</t>
  </si>
  <si>
    <t xml:space="preserve">INPUT </t>
  </si>
  <si>
    <t xml:space="preserve"> REQUIRED PLAN AREA</t>
  </si>
  <si>
    <t xml:space="preserve">Net Upward Pressure (Factored) </t>
  </si>
  <si>
    <t>Depth From One way shear</t>
  </si>
  <si>
    <t>Depth from Two way Shear</t>
  </si>
  <si>
    <t xml:space="preserve"> Depth from Bending</t>
  </si>
  <si>
    <t>Fixing overall depth of foooting</t>
  </si>
  <si>
    <t>Reinforcemnet required</t>
  </si>
  <si>
    <t>(Mu/bd^2)=R</t>
  </si>
  <si>
    <t>Pt(%) (assumed)</t>
  </si>
  <si>
    <t>Area of Top Reinforcement</t>
  </si>
  <si>
    <t>Area of Bottom Reinforcemnet</t>
  </si>
  <si>
    <t>Check</t>
  </si>
  <si>
    <t xml:space="preserve"> Total Reinforcement</t>
  </si>
  <si>
    <t>Sqmm /m</t>
  </si>
  <si>
    <t>(Equal Projection Length Provided)</t>
  </si>
  <si>
    <t>no of bars (total length)</t>
  </si>
  <si>
    <t>spacing</t>
  </si>
  <si>
    <t xml:space="preserve"> no of bars</t>
  </si>
  <si>
    <t>total area(prov)</t>
  </si>
  <si>
    <t>sqmm</t>
  </si>
  <si>
    <t>DEVELOPMENT LENGTH</t>
  </si>
  <si>
    <t>Summary</t>
  </si>
  <si>
    <t xml:space="preserve">Load </t>
  </si>
  <si>
    <t xml:space="preserve">Length </t>
  </si>
  <si>
    <t>Breadth</t>
  </si>
  <si>
    <t>Depth</t>
  </si>
  <si>
    <t>Size of bar</t>
  </si>
  <si>
    <t>Spacing</t>
  </si>
  <si>
    <t>L</t>
  </si>
  <si>
    <t>B</t>
  </si>
</sst>
</file>

<file path=xl/styles.xml><?xml version="1.0" encoding="utf-8"?>
<styleSheet xmlns="http://schemas.openxmlformats.org/spreadsheetml/2006/main">
  <numFmts count="1">
    <numFmt numFmtId="164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2" fontId="2" fillId="5" borderId="1" xfId="0" applyNumberFormat="1" applyFont="1" applyFill="1" applyBorder="1" applyAlignment="1">
      <alignment horizontal="left"/>
    </xf>
    <xf numFmtId="0" fontId="1" fillId="2" borderId="1" xfId="0" applyFont="1" applyFill="1" applyBorder="1"/>
    <xf numFmtId="2" fontId="2" fillId="5" borderId="1" xfId="0" applyNumberFormat="1" applyFont="1" applyFill="1" applyBorder="1"/>
    <xf numFmtId="0" fontId="2" fillId="5" borderId="1" xfId="0" applyFont="1" applyFill="1" applyBorder="1" applyAlignment="1">
      <alignment horizontal="left"/>
    </xf>
    <xf numFmtId="0" fontId="1" fillId="3" borderId="1" xfId="0" applyFont="1" applyFill="1" applyBorder="1"/>
    <xf numFmtId="2" fontId="2" fillId="0" borderId="1" xfId="0" applyNumberFormat="1" applyFont="1" applyBorder="1" applyAlignment="1">
      <alignment horizontal="left"/>
    </xf>
    <xf numFmtId="0" fontId="2" fillId="5" borderId="1" xfId="0" applyFont="1" applyFill="1" applyBorder="1"/>
    <xf numFmtId="2" fontId="1" fillId="5" borderId="1" xfId="0" applyNumberFormat="1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2" fontId="1" fillId="3" borderId="1" xfId="0" applyNumberFormat="1" applyFont="1" applyFill="1" applyBorder="1" applyAlignment="1">
      <alignment horizontal="left"/>
    </xf>
    <xf numFmtId="164" fontId="2" fillId="5" borderId="1" xfId="0" applyNumberFormat="1" applyFont="1" applyFill="1" applyBorder="1" applyAlignment="1">
      <alignment horizontal="left"/>
    </xf>
    <xf numFmtId="2" fontId="2" fillId="0" borderId="1" xfId="0" applyNumberFormat="1" applyFont="1" applyBorder="1"/>
    <xf numFmtId="2" fontId="2" fillId="3" borderId="1" xfId="0" applyNumberFormat="1" applyFont="1" applyFill="1" applyBorder="1" applyAlignment="1">
      <alignment horizontal="left"/>
    </xf>
    <xf numFmtId="1" fontId="2" fillId="0" borderId="1" xfId="0" applyNumberFormat="1" applyFont="1" applyBorder="1"/>
    <xf numFmtId="0" fontId="1" fillId="0" borderId="1" xfId="0" applyFont="1" applyBorder="1"/>
    <xf numFmtId="0" fontId="3" fillId="6" borderId="2" xfId="0" applyFont="1" applyFill="1" applyBorder="1"/>
    <xf numFmtId="0" fontId="2" fillId="0" borderId="0" xfId="0" applyFont="1" applyBorder="1" applyAlignment="1">
      <alignment horizontal="left"/>
    </xf>
    <xf numFmtId="0" fontId="2" fillId="0" borderId="0" xfId="0" applyFont="1" applyBorder="1"/>
    <xf numFmtId="2" fontId="2" fillId="0" borderId="0" xfId="0" applyNumberFormat="1" applyFont="1" applyBorder="1" applyAlignment="1">
      <alignment horizontal="left"/>
    </xf>
    <xf numFmtId="1" fontId="2" fillId="0" borderId="0" xfId="0" applyNumberFormat="1" applyFont="1" applyBorder="1"/>
    <xf numFmtId="1" fontId="2" fillId="0" borderId="0" xfId="0" applyNumberFormat="1" applyFont="1" applyBorder="1" applyAlignment="1">
      <alignment horizontal="right"/>
    </xf>
    <xf numFmtId="2" fontId="2" fillId="0" borderId="0" xfId="0" applyNumberFormat="1" applyFont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24581</xdr:colOff>
      <xdr:row>17</xdr:row>
      <xdr:rowOff>0</xdr:rowOff>
    </xdr:from>
    <xdr:to>
      <xdr:col>17</xdr:col>
      <xdr:colOff>12290</xdr:colOff>
      <xdr:row>26</xdr:row>
      <xdr:rowOff>172064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xmlns="" id="{6B69C2A1-23BB-0BF4-94F0-04E78E2883AC}"/>
            </a:ext>
          </a:extLst>
        </xdr:cNvPr>
        <xdr:cNvSpPr/>
      </xdr:nvSpPr>
      <xdr:spPr>
        <a:xfrm>
          <a:off x="18079065" y="3134032"/>
          <a:ext cx="4289322" cy="183125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172064</xdr:colOff>
      <xdr:row>25</xdr:row>
      <xdr:rowOff>110612</xdr:rowOff>
    </xdr:from>
    <xdr:to>
      <xdr:col>16</xdr:col>
      <xdr:colOff>454742</xdr:colOff>
      <xdr:row>25</xdr:row>
      <xdr:rowOff>122903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xmlns="" id="{8DF70D44-6B2B-BCA6-A6E3-55BC687FF9AC}"/>
            </a:ext>
          </a:extLst>
        </xdr:cNvPr>
        <xdr:cNvCxnSpPr/>
      </xdr:nvCxnSpPr>
      <xdr:spPr>
        <a:xfrm>
          <a:off x="18226548" y="4719483"/>
          <a:ext cx="3969775" cy="122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516193</xdr:colOff>
      <xdr:row>24</xdr:row>
      <xdr:rowOff>135194</xdr:rowOff>
    </xdr:from>
    <xdr:to>
      <xdr:col>11</xdr:col>
      <xdr:colOff>98323</xdr:colOff>
      <xdr:row>25</xdr:row>
      <xdr:rowOff>110613</xdr:rowOff>
    </xdr:to>
    <xdr:sp macro="" textlink="">
      <xdr:nvSpPr>
        <xdr:cNvPr id="8" name="Flowchart: Connector 7">
          <a:extLst>
            <a:ext uri="{FF2B5EF4-FFF2-40B4-BE49-F238E27FC236}">
              <a16:creationId xmlns:a16="http://schemas.microsoft.com/office/drawing/2014/main" xmlns="" id="{1ECA63C2-D431-08E2-87F2-C035BC017423}"/>
            </a:ext>
          </a:extLst>
        </xdr:cNvPr>
        <xdr:cNvSpPr/>
      </xdr:nvSpPr>
      <xdr:spPr>
        <a:xfrm>
          <a:off x="18570677" y="4559710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479323</xdr:colOff>
      <xdr:row>24</xdr:row>
      <xdr:rowOff>159774</xdr:rowOff>
    </xdr:from>
    <xdr:to>
      <xdr:col>14</xdr:col>
      <xdr:colOff>61453</xdr:colOff>
      <xdr:row>25</xdr:row>
      <xdr:rowOff>135193</xdr:rowOff>
    </xdr:to>
    <xdr:sp macro="" textlink="">
      <xdr:nvSpPr>
        <xdr:cNvPr id="11" name="Flowchart: Connector 10">
          <a:extLst>
            <a:ext uri="{FF2B5EF4-FFF2-40B4-BE49-F238E27FC236}">
              <a16:creationId xmlns:a16="http://schemas.microsoft.com/office/drawing/2014/main" xmlns="" id="{DFC25D62-2135-457A-9F17-0187E5616E3E}"/>
            </a:ext>
          </a:extLst>
        </xdr:cNvPr>
        <xdr:cNvSpPr/>
      </xdr:nvSpPr>
      <xdr:spPr>
        <a:xfrm>
          <a:off x="20377355" y="4584290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491613</xdr:colOff>
      <xdr:row>24</xdr:row>
      <xdr:rowOff>147484</xdr:rowOff>
    </xdr:from>
    <xdr:to>
      <xdr:col>15</xdr:col>
      <xdr:colOff>73742</xdr:colOff>
      <xdr:row>25</xdr:row>
      <xdr:rowOff>122903</xdr:rowOff>
    </xdr:to>
    <xdr:sp macro="" textlink="">
      <xdr:nvSpPr>
        <xdr:cNvPr id="12" name="Flowchart: Connector 11">
          <a:extLst>
            <a:ext uri="{FF2B5EF4-FFF2-40B4-BE49-F238E27FC236}">
              <a16:creationId xmlns:a16="http://schemas.microsoft.com/office/drawing/2014/main" xmlns="" id="{B70BB4B2-C47E-475E-B623-164CC2EDE5F8}"/>
            </a:ext>
          </a:extLst>
        </xdr:cNvPr>
        <xdr:cNvSpPr/>
      </xdr:nvSpPr>
      <xdr:spPr>
        <a:xfrm>
          <a:off x="21004161" y="4572000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508818</xdr:colOff>
      <xdr:row>24</xdr:row>
      <xdr:rowOff>152400</xdr:rowOff>
    </xdr:from>
    <xdr:to>
      <xdr:col>16</xdr:col>
      <xdr:colOff>90948</xdr:colOff>
      <xdr:row>25</xdr:row>
      <xdr:rowOff>127819</xdr:rowOff>
    </xdr:to>
    <xdr:sp macro="" textlink="">
      <xdr:nvSpPr>
        <xdr:cNvPr id="13" name="Flowchart: Connector 12">
          <a:extLst>
            <a:ext uri="{FF2B5EF4-FFF2-40B4-BE49-F238E27FC236}">
              <a16:creationId xmlns:a16="http://schemas.microsoft.com/office/drawing/2014/main" xmlns="" id="{23622E82-9BA4-47C8-AAFA-961AC0DFFEBC}"/>
            </a:ext>
          </a:extLst>
        </xdr:cNvPr>
        <xdr:cNvSpPr/>
      </xdr:nvSpPr>
      <xdr:spPr>
        <a:xfrm>
          <a:off x="21635883" y="4576916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540774</xdr:colOff>
      <xdr:row>24</xdr:row>
      <xdr:rowOff>122903</xdr:rowOff>
    </xdr:from>
    <xdr:to>
      <xdr:col>12</xdr:col>
      <xdr:colOff>122904</xdr:colOff>
      <xdr:row>25</xdr:row>
      <xdr:rowOff>98322</xdr:rowOff>
    </xdr:to>
    <xdr:sp macro="" textlink="">
      <xdr:nvSpPr>
        <xdr:cNvPr id="14" name="Flowchart: Connector 13">
          <a:extLst>
            <a:ext uri="{FF2B5EF4-FFF2-40B4-BE49-F238E27FC236}">
              <a16:creationId xmlns:a16="http://schemas.microsoft.com/office/drawing/2014/main" xmlns="" id="{E01B92FD-58F4-4F58-B511-D30B9EB58B4E}"/>
            </a:ext>
          </a:extLst>
        </xdr:cNvPr>
        <xdr:cNvSpPr/>
      </xdr:nvSpPr>
      <xdr:spPr>
        <a:xfrm>
          <a:off x="19209774" y="4547419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503903</xdr:colOff>
      <xdr:row>24</xdr:row>
      <xdr:rowOff>147484</xdr:rowOff>
    </xdr:from>
    <xdr:to>
      <xdr:col>13</xdr:col>
      <xdr:colOff>86033</xdr:colOff>
      <xdr:row>25</xdr:row>
      <xdr:rowOff>122903</xdr:rowOff>
    </xdr:to>
    <xdr:sp macro="" textlink="">
      <xdr:nvSpPr>
        <xdr:cNvPr id="15" name="Flowchart: Connector 14">
          <a:extLst>
            <a:ext uri="{FF2B5EF4-FFF2-40B4-BE49-F238E27FC236}">
              <a16:creationId xmlns:a16="http://schemas.microsoft.com/office/drawing/2014/main" xmlns="" id="{22141FEE-C656-44A7-B6D2-B05B1AF22E0D}"/>
            </a:ext>
          </a:extLst>
        </xdr:cNvPr>
        <xdr:cNvSpPr/>
      </xdr:nvSpPr>
      <xdr:spPr>
        <a:xfrm>
          <a:off x="19787419" y="4572000"/>
          <a:ext cx="196646" cy="159774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233516</xdr:colOff>
      <xdr:row>1</xdr:row>
      <xdr:rowOff>98322</xdr:rowOff>
    </xdr:from>
    <xdr:to>
      <xdr:col>14</xdr:col>
      <xdr:colOff>381000</xdr:colOff>
      <xdr:row>17</xdr:row>
      <xdr:rowOff>12291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xmlns="" id="{EBA8F070-FF40-CD53-D173-42E193938B18}"/>
            </a:ext>
          </a:extLst>
        </xdr:cNvPr>
        <xdr:cNvSpPr/>
      </xdr:nvSpPr>
      <xdr:spPr>
        <a:xfrm>
          <a:off x="19517032" y="282677"/>
          <a:ext cx="1376516" cy="286364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442452</xdr:colOff>
      <xdr:row>2</xdr:row>
      <xdr:rowOff>147484</xdr:rowOff>
    </xdr:from>
    <xdr:to>
      <xdr:col>12</xdr:col>
      <xdr:colOff>467032</xdr:colOff>
      <xdr:row>19</xdr:row>
      <xdr:rowOff>36871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xmlns="" id="{DBCD9391-1193-51C2-C015-688487359315}"/>
            </a:ext>
          </a:extLst>
        </xdr:cNvPr>
        <xdr:cNvCxnSpPr/>
      </xdr:nvCxnSpPr>
      <xdr:spPr>
        <a:xfrm flipH="1">
          <a:off x="19725968" y="516194"/>
          <a:ext cx="24580" cy="30234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159775</xdr:colOff>
      <xdr:row>2</xdr:row>
      <xdr:rowOff>147484</xdr:rowOff>
    </xdr:from>
    <xdr:to>
      <xdr:col>14</xdr:col>
      <xdr:colOff>184355</xdr:colOff>
      <xdr:row>19</xdr:row>
      <xdr:rowOff>36871</xdr:rowOff>
    </xdr:to>
    <xdr:cxnSp macro="">
      <xdr:nvCxnSpPr>
        <xdr:cNvPr id="25" name="Straight Connector 24">
          <a:extLst>
            <a:ext uri="{FF2B5EF4-FFF2-40B4-BE49-F238E27FC236}">
              <a16:creationId xmlns:a16="http://schemas.microsoft.com/office/drawing/2014/main" xmlns="" id="{4DB9E9A0-5CD0-4FD5-A316-95EFC0FC7A75}"/>
            </a:ext>
          </a:extLst>
        </xdr:cNvPr>
        <xdr:cNvCxnSpPr/>
      </xdr:nvCxnSpPr>
      <xdr:spPr>
        <a:xfrm flipH="1">
          <a:off x="20672323" y="516194"/>
          <a:ext cx="24580" cy="30234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442451</xdr:colOff>
      <xdr:row>19</xdr:row>
      <xdr:rowOff>0</xdr:rowOff>
    </xdr:from>
    <xdr:to>
      <xdr:col>12</xdr:col>
      <xdr:colOff>442452</xdr:colOff>
      <xdr:row>19</xdr:row>
      <xdr:rowOff>12290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xmlns="" id="{7A53F544-2301-60A4-0AAF-5FAD4A2E872C}"/>
            </a:ext>
          </a:extLst>
        </xdr:cNvPr>
        <xdr:cNvCxnSpPr/>
      </xdr:nvCxnSpPr>
      <xdr:spPr>
        <a:xfrm>
          <a:off x="18496935" y="3502742"/>
          <a:ext cx="1229033" cy="122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172065</xdr:colOff>
      <xdr:row>19</xdr:row>
      <xdr:rowOff>36871</xdr:rowOff>
    </xdr:from>
    <xdr:to>
      <xdr:col>16</xdr:col>
      <xdr:colOff>172065</xdr:colOff>
      <xdr:row>19</xdr:row>
      <xdr:rowOff>49161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xmlns="" id="{1250CAC5-B886-4B93-805D-279419BA7BA1}"/>
            </a:ext>
          </a:extLst>
        </xdr:cNvPr>
        <xdr:cNvCxnSpPr/>
      </xdr:nvCxnSpPr>
      <xdr:spPr>
        <a:xfrm>
          <a:off x="20684613" y="3539613"/>
          <a:ext cx="1229033" cy="122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319549</xdr:colOff>
      <xdr:row>25</xdr:row>
      <xdr:rowOff>122903</xdr:rowOff>
    </xdr:from>
    <xdr:to>
      <xdr:col>17</xdr:col>
      <xdr:colOff>36871</xdr:colOff>
      <xdr:row>31</xdr:row>
      <xdr:rowOff>184354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xmlns="" id="{0646C434-7DAA-D431-F6A4-5E047C88B903}"/>
            </a:ext>
          </a:extLst>
        </xdr:cNvPr>
        <xdr:cNvCxnSpPr/>
      </xdr:nvCxnSpPr>
      <xdr:spPr>
        <a:xfrm>
          <a:off x="19603065" y="4731774"/>
          <a:ext cx="2789903" cy="1167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331838</xdr:colOff>
      <xdr:row>25</xdr:row>
      <xdr:rowOff>147484</xdr:rowOff>
    </xdr:from>
    <xdr:to>
      <xdr:col>17</xdr:col>
      <xdr:colOff>36871</xdr:colOff>
      <xdr:row>32</xdr:row>
      <xdr:rowOff>24580</xdr:rowOff>
    </xdr:to>
    <xdr:cxnSp macro="">
      <xdr:nvCxnSpPr>
        <xdr:cNvPr id="31" name="Straight Connector 30">
          <a:extLst>
            <a:ext uri="{FF2B5EF4-FFF2-40B4-BE49-F238E27FC236}">
              <a16:creationId xmlns:a16="http://schemas.microsoft.com/office/drawing/2014/main" xmlns="" id="{70C4622D-9B49-4EE9-933A-F63E11A13211}"/>
            </a:ext>
          </a:extLst>
        </xdr:cNvPr>
        <xdr:cNvCxnSpPr/>
      </xdr:nvCxnSpPr>
      <xdr:spPr>
        <a:xfrm>
          <a:off x="21458903" y="4756355"/>
          <a:ext cx="934065" cy="1167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42"/>
  <sheetViews>
    <sheetView tabSelected="1" zoomScale="56" zoomScaleNormal="83" workbookViewId="0">
      <selection activeCell="F34" sqref="F34"/>
    </sheetView>
  </sheetViews>
  <sheetFormatPr defaultRowHeight="15"/>
  <cols>
    <col min="1" max="1" width="36.5703125" bestFit="1" customWidth="1"/>
    <col min="2" max="2" width="16.7109375" bestFit="1" customWidth="1"/>
    <col min="3" max="3" width="8.85546875" bestFit="1" customWidth="1"/>
    <col min="4" max="4" width="28.5703125" bestFit="1" customWidth="1"/>
    <col min="5" max="5" width="31.140625" bestFit="1" customWidth="1"/>
    <col min="6" max="6" width="31.140625" customWidth="1"/>
    <col min="7" max="7" width="8.140625" bestFit="1" customWidth="1"/>
    <col min="8" max="8" width="42.5703125" bestFit="1" customWidth="1"/>
    <col min="9" max="10" width="41.28515625" bestFit="1" customWidth="1"/>
    <col min="13" max="13" width="11.42578125" bestFit="1" customWidth="1"/>
    <col min="17" max="17" width="8.85546875" customWidth="1"/>
    <col min="18" max="18" width="36.5703125" bestFit="1" customWidth="1"/>
  </cols>
  <sheetData>
    <row r="1" spans="1:18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21"/>
      <c r="K1" s="21"/>
      <c r="L1" s="29"/>
      <c r="M1" s="29"/>
      <c r="N1" s="29"/>
      <c r="O1" s="29"/>
      <c r="P1" s="29"/>
      <c r="Q1" s="29"/>
      <c r="R1" s="29"/>
    </row>
    <row r="2" spans="1:18">
      <c r="A2" s="1" t="s">
        <v>61</v>
      </c>
      <c r="B2" s="2"/>
      <c r="C2" s="20"/>
      <c r="D2" s="20"/>
      <c r="E2" s="20"/>
      <c r="F2" s="20"/>
      <c r="G2" s="20"/>
      <c r="H2" s="21"/>
      <c r="I2" s="21"/>
      <c r="J2" s="21"/>
      <c r="K2" s="21"/>
      <c r="L2" s="29"/>
      <c r="M2" s="29"/>
      <c r="N2" s="29"/>
      <c r="O2" s="29"/>
      <c r="P2" s="29"/>
      <c r="Q2" s="29"/>
      <c r="R2" s="29"/>
    </row>
    <row r="3" spans="1:18">
      <c r="A3" s="2" t="s">
        <v>33</v>
      </c>
      <c r="B3" s="4">
        <v>2300</v>
      </c>
      <c r="C3" s="30" t="s">
        <v>5</v>
      </c>
      <c r="D3" s="30"/>
      <c r="E3" s="30"/>
      <c r="F3" s="27"/>
      <c r="G3" s="20"/>
      <c r="H3" s="5" t="s">
        <v>52</v>
      </c>
      <c r="I3" s="3"/>
      <c r="J3" s="3"/>
      <c r="K3" s="21"/>
      <c r="L3" s="29"/>
      <c r="M3" s="29"/>
      <c r="N3" s="29"/>
      <c r="O3" s="29"/>
      <c r="P3" s="29"/>
      <c r="Q3" s="29"/>
      <c r="R3" s="29"/>
    </row>
    <row r="4" spans="1:18">
      <c r="A4" s="2" t="s">
        <v>45</v>
      </c>
      <c r="B4" s="4">
        <v>100</v>
      </c>
      <c r="C4" s="20"/>
      <c r="D4" s="20"/>
      <c r="E4" s="20"/>
      <c r="F4" s="20"/>
      <c r="G4" s="20"/>
      <c r="H4" s="3" t="s">
        <v>53</v>
      </c>
      <c r="I4" s="6">
        <f>B24*B20*(((B20-(D6/1000))/2)-E24)</f>
        <v>876.30000000000007</v>
      </c>
      <c r="J4" s="3" t="s">
        <v>2</v>
      </c>
      <c r="K4" s="21"/>
      <c r="L4" s="29"/>
      <c r="M4" s="29"/>
      <c r="N4" s="29"/>
      <c r="O4" s="29"/>
      <c r="P4" s="29"/>
      <c r="Q4" s="29"/>
      <c r="R4" s="29"/>
    </row>
    <row r="5" spans="1:18">
      <c r="A5" s="2" t="s">
        <v>44</v>
      </c>
      <c r="B5" s="4">
        <v>80</v>
      </c>
      <c r="C5" s="20"/>
      <c r="D5" s="20"/>
      <c r="E5" s="20"/>
      <c r="F5" s="20"/>
      <c r="G5" s="20"/>
      <c r="H5" s="3" t="s">
        <v>54</v>
      </c>
      <c r="I5" s="6">
        <f>(I4*10^3)/((C20*E24)*1000000)</f>
        <v>0.29846730245231612</v>
      </c>
      <c r="J5" s="3" t="s">
        <v>10</v>
      </c>
      <c r="K5" s="21"/>
      <c r="L5" s="29"/>
      <c r="M5" s="29"/>
      <c r="N5" s="29"/>
      <c r="O5" s="29"/>
      <c r="P5" s="29"/>
      <c r="Q5" s="29"/>
      <c r="R5" s="29"/>
    </row>
    <row r="6" spans="1:18">
      <c r="A6" s="2" t="s">
        <v>34</v>
      </c>
      <c r="B6" s="4">
        <v>25</v>
      </c>
      <c r="C6" s="2" t="s">
        <v>6</v>
      </c>
      <c r="D6" s="7">
        <v>400</v>
      </c>
      <c r="E6" s="2" t="s">
        <v>7</v>
      </c>
      <c r="F6" s="20"/>
      <c r="G6" s="20"/>
      <c r="H6" s="3" t="s">
        <v>55</v>
      </c>
      <c r="I6" s="8" t="str">
        <f>IF(B30&gt;I5,"SAFE FOR ONE WAY SHEAR","CHANGE THE DEPTH")</f>
        <v>SAFE FOR ONE WAY SHEAR</v>
      </c>
      <c r="J6" s="3"/>
      <c r="K6" s="21"/>
      <c r="L6" s="29"/>
      <c r="M6" s="29"/>
      <c r="N6" s="29"/>
      <c r="O6" s="29"/>
      <c r="P6" s="29"/>
      <c r="Q6" s="29"/>
      <c r="R6" s="29"/>
    </row>
    <row r="7" spans="1:18">
      <c r="A7" s="2" t="s">
        <v>35</v>
      </c>
      <c r="B7" s="4">
        <v>415</v>
      </c>
      <c r="C7" s="2" t="s">
        <v>8</v>
      </c>
      <c r="D7" s="7">
        <v>500</v>
      </c>
      <c r="E7" s="2" t="s">
        <v>7</v>
      </c>
      <c r="F7" s="20"/>
      <c r="G7" s="20"/>
      <c r="H7" s="3"/>
      <c r="I7" s="3"/>
      <c r="J7" s="3"/>
      <c r="K7" s="21"/>
      <c r="L7" s="29"/>
      <c r="M7" s="29"/>
      <c r="N7" s="29"/>
      <c r="O7" s="29"/>
      <c r="P7" s="29"/>
      <c r="Q7" s="29"/>
      <c r="R7" s="29"/>
    </row>
    <row r="8" spans="1:18">
      <c r="A8" s="2" t="s">
        <v>36</v>
      </c>
      <c r="B8" s="4">
        <v>60</v>
      </c>
      <c r="C8" s="20"/>
      <c r="D8" s="20"/>
      <c r="E8" s="20"/>
      <c r="F8" s="20"/>
      <c r="G8" s="20"/>
      <c r="H8" s="5" t="s">
        <v>56</v>
      </c>
      <c r="I8" s="3"/>
      <c r="J8" s="3"/>
      <c r="K8" s="21"/>
      <c r="L8" s="29"/>
      <c r="M8" s="29"/>
      <c r="N8" s="29"/>
      <c r="O8" s="29"/>
      <c r="P8" s="29"/>
      <c r="Q8" s="29"/>
      <c r="R8" s="29"/>
    </row>
    <row r="9" spans="1:18">
      <c r="A9" s="2" t="s">
        <v>37</v>
      </c>
      <c r="B9" s="4">
        <v>12</v>
      </c>
      <c r="C9" s="20"/>
      <c r="D9" s="20"/>
      <c r="E9" s="20"/>
      <c r="F9" s="20"/>
      <c r="G9" s="20"/>
      <c r="H9" s="3" t="s">
        <v>57</v>
      </c>
      <c r="I9" s="6">
        <f>(B34*1000)/(4*(D6+(E24*1000))*E24*1000)</f>
        <v>0.95081569651132591</v>
      </c>
      <c r="J9" s="3"/>
      <c r="K9" s="21"/>
      <c r="L9" s="29"/>
      <c r="M9" s="29"/>
      <c r="N9" s="29"/>
      <c r="O9" s="29"/>
      <c r="P9" s="29"/>
      <c r="Q9" s="29"/>
      <c r="R9" s="29"/>
    </row>
    <row r="10" spans="1:18">
      <c r="A10" s="2" t="s">
        <v>38</v>
      </c>
      <c r="B10" s="4">
        <v>200</v>
      </c>
      <c r="C10" s="20"/>
      <c r="D10" s="20"/>
      <c r="E10" s="20"/>
      <c r="F10" s="20"/>
      <c r="G10" s="20"/>
      <c r="H10" s="3" t="s">
        <v>50</v>
      </c>
      <c r="I10" s="8" t="str">
        <f>IF(B35&gt;I9,"SAFE FOR TWO WAY SHEAR","CHANGE THE FCK")</f>
        <v>SAFE FOR TWO WAY SHEAR</v>
      </c>
      <c r="J10" s="3"/>
      <c r="K10" s="21"/>
      <c r="L10" s="29"/>
      <c r="M10" s="29"/>
      <c r="N10" s="29"/>
      <c r="O10" s="29"/>
      <c r="P10" s="29"/>
      <c r="Q10" s="29"/>
      <c r="R10" s="29"/>
    </row>
    <row r="11" spans="1:18">
      <c r="A11" s="20"/>
      <c r="B11" s="22"/>
      <c r="C11" s="20"/>
      <c r="D11" s="20"/>
      <c r="E11" s="20"/>
      <c r="F11" s="20"/>
      <c r="G11" s="20"/>
      <c r="H11" s="3"/>
      <c r="I11" s="3"/>
      <c r="J11" s="3"/>
      <c r="K11" s="21"/>
      <c r="L11" s="29"/>
      <c r="M11" s="29"/>
      <c r="N11" s="29"/>
      <c r="O11" s="29"/>
      <c r="P11" s="29"/>
      <c r="Q11" s="29"/>
      <c r="R11" s="29"/>
    </row>
    <row r="12" spans="1:18">
      <c r="A12" s="20"/>
      <c r="B12" s="22"/>
      <c r="C12" s="20"/>
      <c r="D12" s="20"/>
      <c r="E12" s="20"/>
      <c r="F12" s="20"/>
      <c r="G12" s="20"/>
      <c r="H12" s="5" t="s">
        <v>58</v>
      </c>
      <c r="I12" s="3"/>
      <c r="J12" s="3"/>
      <c r="K12" s="21"/>
      <c r="L12" s="29"/>
      <c r="M12" s="29"/>
      <c r="N12" s="29"/>
      <c r="O12" s="29"/>
      <c r="P12" s="29"/>
      <c r="Q12" s="29"/>
      <c r="R12" s="29"/>
    </row>
    <row r="13" spans="1:18">
      <c r="A13" s="20"/>
      <c r="B13" s="22"/>
      <c r="C13" s="20"/>
      <c r="D13" s="20"/>
      <c r="E13" s="20"/>
      <c r="F13" s="20"/>
      <c r="G13" s="20"/>
      <c r="H13" s="18"/>
      <c r="I13" s="3"/>
      <c r="J13" s="3"/>
      <c r="K13" s="21"/>
      <c r="L13" s="29"/>
      <c r="M13" s="29"/>
      <c r="N13" s="29"/>
      <c r="O13" s="29"/>
      <c r="P13" s="29"/>
      <c r="Q13" s="29"/>
      <c r="R13" s="29"/>
    </row>
    <row r="14" spans="1:18">
      <c r="A14" s="1" t="s">
        <v>62</v>
      </c>
      <c r="B14" s="9"/>
      <c r="C14" s="2"/>
      <c r="D14" s="31" t="s">
        <v>66</v>
      </c>
      <c r="E14" s="31"/>
      <c r="F14" s="31"/>
      <c r="G14" s="32"/>
      <c r="H14" s="3" t="s">
        <v>59</v>
      </c>
      <c r="I14" s="10">
        <f>(1.5*B3*1000)/(D6*D7)</f>
        <v>17.25</v>
      </c>
      <c r="J14" s="3"/>
      <c r="K14" s="21"/>
      <c r="L14" s="29"/>
      <c r="M14" s="29"/>
      <c r="N14" s="29"/>
      <c r="O14" s="29"/>
      <c r="P14" s="29"/>
      <c r="Q14" s="29"/>
      <c r="R14" s="29"/>
    </row>
    <row r="15" spans="1:18">
      <c r="A15" s="2" t="s">
        <v>39</v>
      </c>
      <c r="B15" s="4">
        <f>B3</f>
        <v>2300</v>
      </c>
      <c r="C15" s="2"/>
      <c r="D15" s="2" t="s">
        <v>20</v>
      </c>
      <c r="E15" s="4">
        <f>B24*0.125*(B20-D7/1000)^2</f>
        <v>319.56730769230768</v>
      </c>
      <c r="F15" s="4"/>
      <c r="G15" s="28" t="s">
        <v>21</v>
      </c>
      <c r="H15" s="3" t="s">
        <v>60</v>
      </c>
      <c r="I15" s="10">
        <f>0.45*B6</f>
        <v>11.25</v>
      </c>
      <c r="J15" s="3"/>
      <c r="K15" s="21"/>
      <c r="L15" s="29"/>
      <c r="M15" s="29"/>
      <c r="N15" s="29"/>
      <c r="O15" s="29"/>
      <c r="P15" s="29"/>
      <c r="Q15" s="29"/>
      <c r="R15" s="29"/>
    </row>
    <row r="16" spans="1:18">
      <c r="A16" s="2" t="s">
        <v>43</v>
      </c>
      <c r="B16" s="4">
        <f>B3*10/100</f>
        <v>230</v>
      </c>
      <c r="C16" s="2"/>
      <c r="D16" s="2" t="s">
        <v>22</v>
      </c>
      <c r="E16" s="4">
        <f>SQRT(E15*10^6/(0.138*B20*B6*1000))/1000</f>
        <v>0.15411301641245265</v>
      </c>
      <c r="F16" s="4"/>
      <c r="G16" s="28" t="s">
        <v>3</v>
      </c>
      <c r="H16" s="8" t="str">
        <f>IF(I14&lt;I15,"SAFE FOR BEARING","PROVIDE DEVELOPMENT LENGTH)")</f>
        <v>PROVIDE DEVELOPMENT LENGTH)</v>
      </c>
      <c r="I16" s="3"/>
      <c r="J16" s="3"/>
      <c r="K16" s="21"/>
      <c r="L16" s="29"/>
      <c r="M16" s="29"/>
      <c r="N16" s="29"/>
      <c r="O16" s="29"/>
      <c r="P16" s="29"/>
      <c r="Q16" s="29"/>
      <c r="R16" s="29"/>
    </row>
    <row r="17" spans="1:18">
      <c r="A17" s="2" t="s">
        <v>42</v>
      </c>
      <c r="B17" s="4">
        <f>B15+B16</f>
        <v>2530</v>
      </c>
      <c r="C17" s="2" t="s">
        <v>2</v>
      </c>
      <c r="D17" s="2"/>
      <c r="E17" s="9"/>
      <c r="F17" s="9"/>
      <c r="G17" s="28"/>
      <c r="H17" s="3"/>
      <c r="I17" s="3"/>
      <c r="J17" s="3" t="s">
        <v>10</v>
      </c>
      <c r="K17" s="21"/>
      <c r="L17" s="29"/>
      <c r="M17" s="29"/>
      <c r="N17" s="29"/>
      <c r="O17" s="29"/>
      <c r="P17" s="29"/>
      <c r="Q17" s="29"/>
      <c r="R17" s="29"/>
    </row>
    <row r="18" spans="1:18">
      <c r="A18" s="2" t="s">
        <v>41</v>
      </c>
      <c r="B18" s="4">
        <f>B17/B10</f>
        <v>12.65</v>
      </c>
      <c r="C18" s="2" t="s">
        <v>4</v>
      </c>
      <c r="D18" s="31" t="s">
        <v>67</v>
      </c>
      <c r="E18" s="31"/>
      <c r="F18" s="31"/>
      <c r="G18" s="32"/>
      <c r="H18" s="3" t="s">
        <v>82</v>
      </c>
      <c r="I18" s="3">
        <f>(B9*B7)/(4*1.4*1.6)</f>
        <v>555.80357142857144</v>
      </c>
      <c r="J18" s="3" t="s">
        <v>7</v>
      </c>
      <c r="K18" s="21"/>
      <c r="L18" s="29"/>
      <c r="M18" s="29"/>
      <c r="N18" s="29"/>
      <c r="O18" s="29"/>
      <c r="P18" s="29"/>
      <c r="Q18" s="29"/>
      <c r="R18" s="29"/>
    </row>
    <row r="19" spans="1:18">
      <c r="A19" s="2" t="s">
        <v>40</v>
      </c>
      <c r="B19" s="4">
        <f>SQRT(B18)</f>
        <v>3.5566838487557479</v>
      </c>
      <c r="C19" s="2" t="s">
        <v>3</v>
      </c>
      <c r="D19" s="2" t="s">
        <v>23</v>
      </c>
      <c r="E19" s="4">
        <f>MAX(B31,B37,E16)</f>
        <v>0.68497683653209795</v>
      </c>
      <c r="F19" s="4"/>
      <c r="G19" s="2" t="s">
        <v>3</v>
      </c>
      <c r="H19" s="21"/>
      <c r="I19" s="21"/>
      <c r="J19" s="21"/>
      <c r="K19" s="21"/>
      <c r="L19" s="29"/>
      <c r="M19" s="29"/>
      <c r="N19" s="29"/>
      <c r="O19" s="29"/>
      <c r="P19" s="29"/>
      <c r="Q19" s="29"/>
      <c r="R19" s="29"/>
    </row>
    <row r="20" spans="1:18">
      <c r="A20" s="2" t="s">
        <v>1</v>
      </c>
      <c r="B20" s="11">
        <f>C20+(D6/1000-D7/1000)</f>
        <v>3.9</v>
      </c>
      <c r="C20" s="11">
        <f>ROUNDUP(B19,-0.5)</f>
        <v>4</v>
      </c>
      <c r="D20" s="2" t="s">
        <v>24</v>
      </c>
      <c r="E20" s="4">
        <f>E19+B8/1000+0.5*B9/1000</f>
        <v>0.7509768365320979</v>
      </c>
      <c r="F20" s="4"/>
      <c r="G20" s="2" t="s">
        <v>3</v>
      </c>
      <c r="H20" s="21"/>
      <c r="I20" s="21"/>
      <c r="J20" s="21"/>
      <c r="K20" s="21"/>
      <c r="L20" s="29"/>
      <c r="M20" s="29"/>
      <c r="N20" s="29"/>
      <c r="O20" s="29"/>
      <c r="P20" s="29"/>
      <c r="Q20" s="29"/>
      <c r="R20" s="29"/>
    </row>
    <row r="21" spans="1:18">
      <c r="A21" s="2" t="s">
        <v>76</v>
      </c>
      <c r="B21" s="9"/>
      <c r="C21" s="2"/>
      <c r="D21" s="2"/>
      <c r="E21" s="9"/>
      <c r="F21" s="9"/>
      <c r="G21" s="2"/>
      <c r="H21" s="21"/>
      <c r="I21" s="21"/>
      <c r="J21" s="21"/>
      <c r="K21" s="21"/>
      <c r="L21" s="29"/>
      <c r="M21" s="29"/>
      <c r="N21" s="29"/>
      <c r="O21" s="29"/>
      <c r="P21" s="29"/>
      <c r="Q21" s="29"/>
      <c r="R21" s="29"/>
    </row>
    <row r="22" spans="1:18">
      <c r="A22" s="12" t="s">
        <v>39</v>
      </c>
      <c r="B22" s="9" t="s">
        <v>46</v>
      </c>
      <c r="C22" s="2" t="s">
        <v>9</v>
      </c>
      <c r="D22" s="2" t="s">
        <v>25</v>
      </c>
      <c r="E22" s="11">
        <f>ROUNDUP(E20*1000,-2)</f>
        <v>800</v>
      </c>
      <c r="F22" s="11"/>
      <c r="G22" s="2" t="s">
        <v>3</v>
      </c>
      <c r="H22" s="21"/>
      <c r="I22" s="21"/>
      <c r="J22" s="21"/>
      <c r="K22" s="21"/>
      <c r="L22" s="29"/>
      <c r="M22" s="29"/>
      <c r="N22" s="29"/>
      <c r="O22" s="29"/>
      <c r="P22" s="29"/>
      <c r="Q22" s="29"/>
      <c r="R22" s="29"/>
    </row>
    <row r="23" spans="1:18">
      <c r="A23" s="2" t="s">
        <v>47</v>
      </c>
      <c r="B23" s="16" t="str">
        <f>IF((1.1*B15)/(B20*C20)&lt;B10,"SAFE","UNSAFE;CHANGE THE DIMENSIONS")</f>
        <v>SAFE</v>
      </c>
      <c r="C23" s="2"/>
      <c r="D23" s="2"/>
      <c r="E23" s="9"/>
      <c r="F23" s="9"/>
      <c r="G23" s="2"/>
      <c r="H23" s="21"/>
      <c r="I23" s="21"/>
      <c r="J23" s="21"/>
      <c r="K23" s="21"/>
      <c r="L23" s="29"/>
      <c r="M23" s="29"/>
      <c r="N23" s="29"/>
      <c r="O23" s="29"/>
      <c r="P23" s="29"/>
      <c r="Q23" s="29"/>
      <c r="R23" s="29"/>
    </row>
    <row r="24" spans="1:18">
      <c r="A24" s="1" t="s">
        <v>63</v>
      </c>
      <c r="B24" s="4">
        <f>(1.5*B3)/(B20*C20)</f>
        <v>221.15384615384616</v>
      </c>
      <c r="C24" s="2" t="s">
        <v>14</v>
      </c>
      <c r="D24" s="2" t="s">
        <v>26</v>
      </c>
      <c r="E24" s="11">
        <f>E22/1000-0.5*B9/1000-B8/1000</f>
        <v>0.73399999999999999</v>
      </c>
      <c r="F24" s="11">
        <f>E24-B9/1000</f>
        <v>0.72199999999999998</v>
      </c>
      <c r="G24" s="2" t="s">
        <v>3</v>
      </c>
      <c r="H24" s="21"/>
      <c r="I24" s="21"/>
      <c r="J24" s="21"/>
      <c r="K24" s="21"/>
      <c r="L24" s="29"/>
      <c r="M24" s="29"/>
      <c r="N24" s="29"/>
      <c r="O24" s="29"/>
      <c r="P24" s="29"/>
      <c r="Q24" s="29"/>
      <c r="R24" s="29"/>
    </row>
    <row r="25" spans="1:18">
      <c r="A25" s="2"/>
      <c r="B25" s="9"/>
      <c r="C25" s="2"/>
      <c r="D25" s="20"/>
      <c r="E25" s="22"/>
      <c r="F25" s="22"/>
      <c r="G25" s="20"/>
      <c r="H25" s="21"/>
      <c r="I25" s="21"/>
      <c r="J25" s="21"/>
      <c r="K25" s="21"/>
      <c r="L25" s="29"/>
      <c r="M25" s="29"/>
      <c r="N25" s="29"/>
      <c r="O25" s="29"/>
      <c r="P25" s="29"/>
      <c r="Q25" s="29"/>
      <c r="R25" s="29"/>
    </row>
    <row r="26" spans="1:18">
      <c r="A26" s="2" t="s">
        <v>48</v>
      </c>
      <c r="B26" s="4">
        <f>(B3/(B20*C20))+(B4/((B20*C20*C20)/6))+(B5/((C20*B20*B20)/6))</f>
        <v>164.94082840236686</v>
      </c>
      <c r="C26" s="2" t="s">
        <v>14</v>
      </c>
      <c r="D26" s="12" t="str">
        <f>IF(E22&lt;E20,"Correct the depth","SAFE")</f>
        <v>SAFE</v>
      </c>
      <c r="E26" s="22"/>
      <c r="F26" s="22"/>
      <c r="G26" s="20"/>
      <c r="H26" s="21"/>
      <c r="I26" s="21"/>
      <c r="J26" s="21"/>
      <c r="K26" s="21"/>
      <c r="L26" s="29"/>
      <c r="M26" s="29"/>
      <c r="N26" s="29"/>
      <c r="O26" s="29"/>
      <c r="P26" s="29"/>
      <c r="Q26" s="29"/>
      <c r="R26" s="29"/>
    </row>
    <row r="27" spans="1:18">
      <c r="A27" s="2" t="s">
        <v>49</v>
      </c>
      <c r="B27" s="4">
        <f>(B3/(B20*C20))-(B4/((B20*C20*C20)/6))-(B5/((C20*B20*B20)/6))</f>
        <v>129.930966469428</v>
      </c>
      <c r="C27" s="2" t="s">
        <v>14</v>
      </c>
      <c r="D27" s="20"/>
      <c r="E27" s="22"/>
      <c r="F27" s="22"/>
      <c r="G27" s="20"/>
      <c r="H27" s="21"/>
      <c r="I27" s="21"/>
      <c r="J27" s="21"/>
      <c r="K27" s="21"/>
      <c r="L27" s="29"/>
      <c r="M27" s="29"/>
      <c r="N27" s="29"/>
      <c r="O27" s="29"/>
      <c r="P27" s="29"/>
      <c r="Q27" s="29"/>
      <c r="R27" s="29"/>
    </row>
    <row r="28" spans="1:18">
      <c r="A28" s="2" t="s">
        <v>50</v>
      </c>
      <c r="B28" s="13" t="str">
        <f>IF(B27&gt;0,"SAFE","TENSION WILL OCCUR")</f>
        <v>SAFE</v>
      </c>
      <c r="C28" s="2"/>
      <c r="D28" s="20"/>
      <c r="E28" s="22"/>
      <c r="F28" s="22"/>
      <c r="G28" s="20"/>
      <c r="H28" s="21"/>
      <c r="I28" s="21"/>
      <c r="J28" s="21"/>
      <c r="K28" s="21"/>
      <c r="L28" s="29"/>
      <c r="M28" s="29"/>
      <c r="N28" s="29"/>
      <c r="O28" s="29"/>
      <c r="P28" s="29"/>
      <c r="Q28" s="29"/>
      <c r="R28" s="29"/>
    </row>
    <row r="29" spans="1:18">
      <c r="A29" s="1" t="s">
        <v>64</v>
      </c>
      <c r="B29" s="9"/>
      <c r="C29" s="2"/>
      <c r="D29" s="20"/>
      <c r="E29" s="22"/>
      <c r="F29" s="22"/>
      <c r="G29" s="20"/>
      <c r="H29" s="21"/>
      <c r="I29" s="21"/>
      <c r="J29" s="21"/>
      <c r="K29" s="21"/>
      <c r="L29" s="29"/>
      <c r="M29" s="29"/>
      <c r="N29" s="29"/>
      <c r="O29" s="29"/>
      <c r="P29" s="29"/>
      <c r="Q29" s="29"/>
      <c r="R29" s="29"/>
    </row>
    <row r="30" spans="1:18">
      <c r="A30" s="2" t="s">
        <v>51</v>
      </c>
      <c r="B30" s="4">
        <v>0.36</v>
      </c>
      <c r="C30" s="2" t="s">
        <v>10</v>
      </c>
      <c r="D30" s="31" t="s">
        <v>68</v>
      </c>
      <c r="E30" s="31"/>
      <c r="F30" s="31"/>
      <c r="G30" s="31"/>
      <c r="H30" s="31"/>
      <c r="I30" s="31"/>
      <c r="J30" s="31"/>
      <c r="K30" s="31"/>
      <c r="L30" s="29"/>
      <c r="M30" s="29"/>
      <c r="N30" s="29"/>
      <c r="O30" s="29"/>
      <c r="P30" s="29"/>
      <c r="Q30" s="29"/>
      <c r="R30" s="29"/>
    </row>
    <row r="31" spans="1:18">
      <c r="A31" s="2" t="s">
        <v>11</v>
      </c>
      <c r="B31" s="4">
        <f>(B24*(0.5*C20-0.5*D6/1000))/(B30*10^3+B24)</f>
        <v>0.68497683653209795</v>
      </c>
      <c r="C31" s="2" t="s">
        <v>3</v>
      </c>
      <c r="D31" s="2" t="s">
        <v>69</v>
      </c>
      <c r="E31" s="4">
        <f>E15*10^6/(1000*(E24*1000)^2)</f>
        <v>0.59315777029361649</v>
      </c>
      <c r="F31" s="4">
        <f>E15*10^6/(1000*(F24*1000)^2)</f>
        <v>0.61303878057317629</v>
      </c>
      <c r="G31" s="2" t="s">
        <v>27</v>
      </c>
      <c r="H31" s="3" t="s">
        <v>74</v>
      </c>
      <c r="I31" s="3" t="s">
        <v>90</v>
      </c>
      <c r="J31" s="3" t="s">
        <v>91</v>
      </c>
      <c r="K31" s="3"/>
      <c r="L31" s="29"/>
      <c r="M31" s="29"/>
      <c r="N31" s="29"/>
      <c r="O31" s="29"/>
      <c r="P31" s="29"/>
      <c r="Q31" s="29"/>
      <c r="R31" s="29"/>
    </row>
    <row r="32" spans="1:18" ht="15.75" thickBot="1">
      <c r="A32" s="2"/>
      <c r="B32" s="9"/>
      <c r="C32" s="2"/>
      <c r="D32" s="2" t="s">
        <v>70</v>
      </c>
      <c r="E32" s="4">
        <v>0.25</v>
      </c>
      <c r="F32" s="4">
        <f>E32</f>
        <v>0.25</v>
      </c>
      <c r="G32" s="2" t="s">
        <v>30</v>
      </c>
      <c r="H32" s="3" t="s">
        <v>77</v>
      </c>
      <c r="I32" s="3">
        <f>ROUNDUP((E37/F36)*B20,-0.5)</f>
        <v>64</v>
      </c>
      <c r="J32" s="15">
        <f>ROUNDUP((F37/F36)*B20,-0.5)</f>
        <v>63</v>
      </c>
      <c r="K32" s="3" t="s">
        <v>7</v>
      </c>
      <c r="L32" s="29"/>
      <c r="M32" s="29"/>
      <c r="N32" s="29"/>
      <c r="O32" s="29"/>
      <c r="P32" s="29"/>
      <c r="Q32" s="29"/>
      <c r="R32" s="29"/>
    </row>
    <row r="33" spans="1:18" ht="15.75" thickBot="1">
      <c r="A33" s="1" t="s">
        <v>65</v>
      </c>
      <c r="B33" s="9"/>
      <c r="C33" s="2"/>
      <c r="D33" s="2" t="s">
        <v>28</v>
      </c>
      <c r="E33" s="4">
        <f>(1-(SQRT(1-((4.598*E31)/B6))))*(B6/(2*B7))*100</f>
        <v>0.16904098156459282</v>
      </c>
      <c r="F33" s="4">
        <f>(1-(SQRT(1-((4.598*F31)/B6))))*(B6/(2*B7))*100</f>
        <v>0.17488120665881077</v>
      </c>
      <c r="G33" s="2" t="s">
        <v>30</v>
      </c>
      <c r="H33" s="3" t="s">
        <v>80</v>
      </c>
      <c r="I33" s="17">
        <f>I32*E36</f>
        <v>7234.56</v>
      </c>
      <c r="J33" s="17">
        <f>J32*F36</f>
        <v>7121.52</v>
      </c>
      <c r="K33" s="3"/>
      <c r="L33" s="29"/>
      <c r="M33" s="29"/>
      <c r="N33" s="29"/>
      <c r="O33" s="29"/>
      <c r="P33" s="29"/>
      <c r="Q33" s="29"/>
      <c r="R33" s="19" t="str">
        <f>CONCATENATE("PROVIDE  ",I38," - ",B9,"mm Dia Bars")</f>
        <v>PROVIDE  32 - 12mm Dia Bars</v>
      </c>
    </row>
    <row r="34" spans="1:18">
      <c r="A34" s="2" t="s">
        <v>12</v>
      </c>
      <c r="B34" s="4">
        <f>B24*((B20*C20)-((D6/1000+B31)*(D7/1000+B31)))</f>
        <v>3165.6685995415251</v>
      </c>
      <c r="C34" s="2" t="s">
        <v>15</v>
      </c>
      <c r="D34" s="12" t="str">
        <f>IF(E33&lt;E32,"SAFE","Change the depth")</f>
        <v>SAFE</v>
      </c>
      <c r="E34" s="9"/>
      <c r="F34" s="13" t="str">
        <f>IF(F33&lt;F32,"SAFE","Change the depth")</f>
        <v>SAFE</v>
      </c>
      <c r="G34" s="2"/>
      <c r="H34" s="3" t="s">
        <v>78</v>
      </c>
      <c r="I34" s="3">
        <f>F36/I33*B20*1000</f>
        <v>60.9375</v>
      </c>
      <c r="J34" s="3">
        <f>F36/J33*C20*1000</f>
        <v>63.492063492063487</v>
      </c>
      <c r="K34" s="3" t="s">
        <v>81</v>
      </c>
      <c r="L34" s="29"/>
      <c r="M34" s="29"/>
      <c r="N34" s="29"/>
      <c r="O34" s="29"/>
      <c r="P34" s="29"/>
      <c r="Q34" s="29"/>
      <c r="R34" s="29"/>
    </row>
    <row r="35" spans="1:18">
      <c r="A35" s="2" t="s">
        <v>13</v>
      </c>
      <c r="B35" s="4">
        <f>0.25*SQRT(B6)</f>
        <v>1.25</v>
      </c>
      <c r="C35" s="2" t="s">
        <v>16</v>
      </c>
      <c r="D35" s="2"/>
      <c r="E35" s="9"/>
      <c r="F35" s="9"/>
      <c r="G35" s="2"/>
      <c r="H35" s="3"/>
      <c r="I35" s="8" t="str">
        <f>IF(I34&gt;100,"SAFE","Provide 2 Layers of Reinforcement")</f>
        <v>Provide 2 Layers of Reinforcement</v>
      </c>
      <c r="J35" s="8" t="str">
        <f>IF(J34&gt;100,"SAFE","Provide 2 Layers of Reinforcement")</f>
        <v>Provide 2 Layers of Reinforcement</v>
      </c>
      <c r="K35" s="3"/>
      <c r="L35" s="29"/>
      <c r="M35" s="5" t="s">
        <v>83</v>
      </c>
      <c r="N35" s="3" t="s">
        <v>90</v>
      </c>
      <c r="O35" s="3" t="s">
        <v>91</v>
      </c>
      <c r="P35" s="3"/>
      <c r="Q35" s="29"/>
      <c r="R35" s="29"/>
    </row>
    <row r="36" spans="1:18">
      <c r="A36" s="2" t="s">
        <v>17</v>
      </c>
      <c r="B36" s="9" t="s">
        <v>18</v>
      </c>
      <c r="C36" s="2" t="s">
        <v>2</v>
      </c>
      <c r="D36" s="2" t="s">
        <v>29</v>
      </c>
      <c r="E36" s="4">
        <f>3.14*(B9/2)^2</f>
        <v>113.04</v>
      </c>
      <c r="F36" s="4">
        <f>3.14*(B9/2)^2</f>
        <v>113.04</v>
      </c>
      <c r="G36" s="2" t="s">
        <v>31</v>
      </c>
      <c r="H36" s="3" t="s">
        <v>71</v>
      </c>
      <c r="I36" s="3">
        <f>I33/2</f>
        <v>3617.28</v>
      </c>
      <c r="J36" s="3">
        <f>J33*0.5</f>
        <v>3560.76</v>
      </c>
      <c r="K36" s="3" t="s">
        <v>81</v>
      </c>
      <c r="L36" s="29"/>
      <c r="M36" s="3" t="s">
        <v>84</v>
      </c>
      <c r="N36" s="15">
        <f>B3</f>
        <v>2300</v>
      </c>
      <c r="O36" s="15">
        <f>B3</f>
        <v>2300</v>
      </c>
      <c r="P36" s="3" t="s">
        <v>2</v>
      </c>
      <c r="Q36" s="29"/>
      <c r="R36" s="29"/>
    </row>
    <row r="37" spans="1:18">
      <c r="A37" s="2" t="s">
        <v>19</v>
      </c>
      <c r="B37" s="4">
        <f>B31/2</f>
        <v>0.34248841826604898</v>
      </c>
      <c r="C37" s="2" t="s">
        <v>3</v>
      </c>
      <c r="D37" s="2" t="s">
        <v>32</v>
      </c>
      <c r="E37" s="14">
        <f>(0.25*E24*1000*1000)/(100)</f>
        <v>1835</v>
      </c>
      <c r="F37" s="14">
        <f>(0.25*F24*1000*1000)/(100)</f>
        <v>1805</v>
      </c>
      <c r="G37" s="2" t="s">
        <v>75</v>
      </c>
      <c r="H37" s="3" t="s">
        <v>72</v>
      </c>
      <c r="I37" s="3">
        <f>I33/2</f>
        <v>3617.28</v>
      </c>
      <c r="J37" s="3">
        <f>J33*0.5</f>
        <v>3560.76</v>
      </c>
      <c r="K37" s="3" t="s">
        <v>81</v>
      </c>
      <c r="L37" s="29"/>
      <c r="M37" s="3" t="s">
        <v>85</v>
      </c>
      <c r="N37" s="15">
        <f>B20</f>
        <v>3.9</v>
      </c>
      <c r="O37" s="15">
        <f>B20</f>
        <v>3.9</v>
      </c>
      <c r="P37" s="3" t="s">
        <v>3</v>
      </c>
      <c r="Q37" s="29"/>
      <c r="R37" s="29"/>
    </row>
    <row r="38" spans="1:18">
      <c r="A38" s="12" t="str">
        <f>IF(B31&lt;B37,"d=d2","SAFE WITH d")</f>
        <v>SAFE WITH d</v>
      </c>
      <c r="B38" s="20"/>
      <c r="C38" s="20"/>
      <c r="D38" s="20"/>
      <c r="E38" s="22"/>
      <c r="F38" s="22"/>
      <c r="G38" s="20"/>
      <c r="H38" s="3" t="s">
        <v>79</v>
      </c>
      <c r="I38" s="3">
        <f>ROUNDUP(I36/F36,0)</f>
        <v>32</v>
      </c>
      <c r="J38" s="3">
        <f>ROUNDUP(J37/F36,0)</f>
        <v>32</v>
      </c>
      <c r="K38" s="3"/>
      <c r="L38" s="29"/>
      <c r="M38" s="3" t="s">
        <v>86</v>
      </c>
      <c r="N38" s="15">
        <f>C20</f>
        <v>4</v>
      </c>
      <c r="O38" s="15">
        <f>C20</f>
        <v>4</v>
      </c>
      <c r="P38" s="3" t="s">
        <v>3</v>
      </c>
      <c r="Q38" s="29"/>
      <c r="R38" s="29"/>
    </row>
    <row r="39" spans="1:18">
      <c r="A39" s="20"/>
      <c r="B39" s="20"/>
      <c r="C39" s="20"/>
      <c r="D39" s="20"/>
      <c r="E39" s="24"/>
      <c r="F39" s="24"/>
      <c r="G39" s="20"/>
      <c r="H39" s="3" t="s">
        <v>78</v>
      </c>
      <c r="I39" s="15">
        <f>F36/I37*B20*1000</f>
        <v>121.875</v>
      </c>
      <c r="J39" s="3">
        <f>F36/J36*1000*C20</f>
        <v>126.98412698412697</v>
      </c>
      <c r="K39" s="3" t="s">
        <v>7</v>
      </c>
      <c r="L39" s="29"/>
      <c r="M39" s="3" t="s">
        <v>87</v>
      </c>
      <c r="N39" s="15">
        <f>E22</f>
        <v>800</v>
      </c>
      <c r="O39" s="15">
        <f>E22</f>
        <v>800</v>
      </c>
      <c r="P39" s="3" t="s">
        <v>7</v>
      </c>
      <c r="Q39" s="29"/>
      <c r="R39" s="29"/>
    </row>
    <row r="40" spans="1:18">
      <c r="A40" s="21"/>
      <c r="B40" s="21"/>
      <c r="C40" s="21"/>
      <c r="D40" s="20"/>
      <c r="E40" s="25"/>
      <c r="F40" s="25"/>
      <c r="G40" s="21"/>
      <c r="H40" s="3" t="s">
        <v>73</v>
      </c>
      <c r="I40" s="8" t="str">
        <f>IF(I39&gt;100,"SAFE","Provide 2 Layers of Reinforcement")</f>
        <v>SAFE</v>
      </c>
      <c r="J40" s="8" t="str">
        <f>IF(J39&gt;100,"SAFE","Provide 2 Layers of Reinforcement")</f>
        <v>SAFE</v>
      </c>
      <c r="K40" s="3"/>
      <c r="L40" s="29"/>
      <c r="M40" s="3" t="s">
        <v>88</v>
      </c>
      <c r="N40" s="15">
        <f>B9</f>
        <v>12</v>
      </c>
      <c r="O40" s="15">
        <f>B9</f>
        <v>12</v>
      </c>
      <c r="P40" s="3" t="s">
        <v>7</v>
      </c>
      <c r="Q40" s="29"/>
      <c r="R40" s="29"/>
    </row>
    <row r="41" spans="1:18">
      <c r="A41" s="21"/>
      <c r="B41" s="21"/>
      <c r="C41" s="21"/>
      <c r="D41" s="20"/>
      <c r="E41" s="23"/>
      <c r="F41" s="23"/>
      <c r="G41" s="21"/>
      <c r="H41" s="21"/>
      <c r="I41" s="21"/>
      <c r="J41" s="21"/>
      <c r="K41" s="21"/>
      <c r="L41" s="29"/>
      <c r="M41" s="3" t="s">
        <v>89</v>
      </c>
      <c r="N41" s="15">
        <f>I39</f>
        <v>121.875</v>
      </c>
      <c r="O41" s="3">
        <f>J39</f>
        <v>126.98412698412697</v>
      </c>
      <c r="P41" s="3" t="s">
        <v>7</v>
      </c>
      <c r="Q41" s="29"/>
      <c r="R41" s="29"/>
    </row>
    <row r="42" spans="1:18">
      <c r="A42" s="21"/>
      <c r="B42" s="21"/>
      <c r="C42" s="21"/>
      <c r="D42" s="21"/>
      <c r="E42" s="26"/>
      <c r="F42" s="26"/>
      <c r="G42" s="21"/>
      <c r="H42" s="21"/>
      <c r="I42" s="21"/>
      <c r="J42" s="21"/>
      <c r="K42" s="21"/>
      <c r="L42" s="29"/>
      <c r="M42" s="29"/>
      <c r="N42" s="29"/>
      <c r="O42" s="29"/>
      <c r="P42" s="29"/>
      <c r="Q42" s="29"/>
      <c r="R42" s="29"/>
    </row>
  </sheetData>
  <mergeCells count="5">
    <mergeCell ref="C3:E3"/>
    <mergeCell ref="D14:G14"/>
    <mergeCell ref="D18:G18"/>
    <mergeCell ref="A1:I1"/>
    <mergeCell ref="D30:K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CAD LAB</dc:creator>
  <cp:lastModifiedBy>CAD LAB</cp:lastModifiedBy>
  <dcterms:created xsi:type="dcterms:W3CDTF">2025-04-29T09:14:12Z</dcterms:created>
  <dcterms:modified xsi:type="dcterms:W3CDTF">2025-08-07T08:34:13Z</dcterms:modified>
</cp:coreProperties>
</file>