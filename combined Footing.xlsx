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 activeTab="1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/>
  <c r="J14"/>
  <c r="J13"/>
  <c r="J12"/>
  <c r="J6"/>
  <c r="J7" s="1"/>
  <c r="J9" s="1"/>
  <c r="J11"/>
  <c r="J8"/>
  <c r="L4"/>
  <c r="J4"/>
  <c r="L3"/>
  <c r="J3"/>
  <c r="F18" l="1"/>
  <c r="H18"/>
  <c r="F24"/>
  <c r="H24"/>
  <c r="H23"/>
  <c r="H22"/>
  <c r="B26"/>
  <c r="F13"/>
  <c r="F12"/>
  <c r="F11"/>
  <c r="B27"/>
  <c r="B24"/>
  <c r="B23"/>
  <c r="B19"/>
  <c r="F7"/>
  <c r="F6"/>
  <c r="F27" i="1"/>
  <c r="F26"/>
  <c r="F24"/>
  <c r="F19"/>
  <c r="F20" s="1"/>
  <c r="F21" s="1"/>
  <c r="F18"/>
  <c r="F13"/>
  <c r="H11"/>
  <c r="F12"/>
  <c r="F11"/>
  <c r="F8"/>
  <c r="F3"/>
  <c r="F7"/>
  <c r="F6"/>
  <c r="F4"/>
  <c r="F2"/>
  <c r="B29"/>
  <c r="B28"/>
  <c r="B24"/>
  <c r="B23"/>
  <c r="B26" s="1"/>
  <c r="B27" s="1"/>
  <c r="B19"/>
  <c r="H27" l="1"/>
  <c r="F25"/>
  <c r="B29" i="2" l="1"/>
  <c r="F4" l="1"/>
  <c r="F8" s="1"/>
  <c r="F2"/>
  <c r="F3" s="1"/>
  <c r="F19" l="1"/>
  <c r="F20" s="1"/>
  <c r="F21" s="1"/>
  <c r="F28" l="1"/>
  <c r="F25"/>
  <c r="F26" s="1"/>
  <c r="H28" s="1"/>
</calcChain>
</file>

<file path=xl/sharedStrings.xml><?xml version="1.0" encoding="utf-8"?>
<sst xmlns="http://schemas.openxmlformats.org/spreadsheetml/2006/main" count="197" uniqueCount="73">
  <si>
    <t xml:space="preserve">DESIGN OF COMBINED FOOTING </t>
  </si>
  <si>
    <t>INPUT DATA</t>
  </si>
  <si>
    <t>P1</t>
  </si>
  <si>
    <t>P2</t>
  </si>
  <si>
    <t>KN</t>
  </si>
  <si>
    <t>C/C DISTANCE B/W COLUMNS</t>
  </si>
  <si>
    <t>SBC</t>
  </si>
  <si>
    <t>KN/Sqm</t>
  </si>
  <si>
    <t>m</t>
  </si>
  <si>
    <t>GRADE OF STEEL</t>
  </si>
  <si>
    <t>GRADE OF CONCRETE</t>
  </si>
  <si>
    <t>Mpa</t>
  </si>
  <si>
    <t>L</t>
  </si>
  <si>
    <t>W</t>
  </si>
  <si>
    <t>DIMENSIONS OF COLUMNS(m)</t>
  </si>
  <si>
    <t>FEATURES OF COLUMNS</t>
  </si>
  <si>
    <t>FOR C1</t>
  </si>
  <si>
    <t>DIA OF BAR</t>
  </si>
  <si>
    <t>mm</t>
  </si>
  <si>
    <t>NO OF BARS</t>
  </si>
  <si>
    <t>AREA OF FOOTING REQ</t>
  </si>
  <si>
    <t>Sqm</t>
  </si>
  <si>
    <t>CALC OF CG OF LOADING</t>
  </si>
  <si>
    <t>ABOUT P1</t>
  </si>
  <si>
    <t>ABOUT P2</t>
  </si>
  <si>
    <t>PROJECTION LENGTH</t>
  </si>
  <si>
    <t>LENGTH OF ONE FACE OF FOOTING(L/2)</t>
  </si>
  <si>
    <t>LENGTH OF FOOTING (L)</t>
  </si>
  <si>
    <t>DIMENSIONING OF FOOTING</t>
  </si>
  <si>
    <t>WIDTH OF FOOTING REQ</t>
  </si>
  <si>
    <t>PROVIDED (B)</t>
  </si>
  <si>
    <t>CHECK FOR SBC</t>
  </si>
  <si>
    <t xml:space="preserve">NET UPWARD PRESSURE </t>
  </si>
  <si>
    <t>ULTIMATE FACTORED LOADS</t>
  </si>
  <si>
    <t>CHECK</t>
  </si>
  <si>
    <t>NUP FOR TOTAL WIDTH</t>
  </si>
  <si>
    <t>KN/m</t>
  </si>
  <si>
    <t>SHEAR FOCE CALC</t>
  </si>
  <si>
    <t>SF AT P1</t>
  </si>
  <si>
    <t>SF AT P2</t>
  </si>
  <si>
    <t>CALC OF DEPTH FROM ONE WAY SHEAR</t>
  </si>
  <si>
    <t>SF=0 AT</t>
  </si>
  <si>
    <t>Pt%</t>
  </si>
  <si>
    <t>tov C</t>
  </si>
  <si>
    <t>d</t>
  </si>
  <si>
    <t>%</t>
  </si>
  <si>
    <t>D</t>
  </si>
  <si>
    <t>D pro</t>
  </si>
  <si>
    <t>d prov</t>
  </si>
  <si>
    <t>DESIGN OF FLEXURE</t>
  </si>
  <si>
    <t>R</t>
  </si>
  <si>
    <t>KNm</t>
  </si>
  <si>
    <t>Mu</t>
  </si>
  <si>
    <t>Ast Req</t>
  </si>
  <si>
    <t>Sqmm</t>
  </si>
  <si>
    <t>Ast pRO</t>
  </si>
  <si>
    <t>LENGTH OF FOOTING (L) PROV</t>
  </si>
  <si>
    <t>LENGTH OF FOOTING (L) REQ</t>
  </si>
  <si>
    <t>M1</t>
  </si>
  <si>
    <t>M2</t>
  </si>
  <si>
    <t xml:space="preserve">CHECK FOR TWO WAY SHEAR </t>
  </si>
  <si>
    <t>SECTION OF C1</t>
  </si>
  <si>
    <t>X</t>
  </si>
  <si>
    <t>w</t>
  </si>
  <si>
    <t>l</t>
  </si>
  <si>
    <t>SECTION OF C2</t>
  </si>
  <si>
    <t>Vu2</t>
  </si>
  <si>
    <t>tov v2</t>
  </si>
  <si>
    <t>0.25*Sqrt of fck</t>
  </si>
  <si>
    <t>UNDER C1</t>
  </si>
  <si>
    <t>UNDER C2</t>
  </si>
  <si>
    <t>TRANSVERSE FLEXURE</t>
  </si>
  <si>
    <t>CANT PROJECTION BEYOND P1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</si>
</sst>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>
      <selection activeCell="N18" sqref="N18"/>
    </sheetView>
  </sheetViews>
  <sheetFormatPr defaultColWidth="8.875" defaultRowHeight="15"/>
  <cols>
    <col min="1" max="1" width="39.875" style="1" bestFit="1" customWidth="1"/>
    <col min="2" max="4" width="8.875" style="1"/>
    <col min="5" max="5" width="40.5" style="1" bestFit="1" customWidth="1"/>
    <col min="6" max="6" width="12" style="1" bestFit="1" customWidth="1"/>
    <col min="7" max="7" width="8.875" style="1"/>
    <col min="8" max="8" width="9.25" style="1" bestFit="1" customWidth="1"/>
    <col min="9" max="16384" width="8.875" style="1"/>
  </cols>
  <sheetData>
    <row r="1" spans="1:1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6"/>
      <c r="N1" s="6"/>
      <c r="O1" s="6"/>
      <c r="P1" s="6"/>
    </row>
    <row r="2" spans="1:16">
      <c r="A2" s="12" t="s">
        <v>1</v>
      </c>
      <c r="B2" s="13"/>
      <c r="C2" s="13"/>
      <c r="E2" s="13" t="s">
        <v>31</v>
      </c>
      <c r="F2" s="13">
        <f>(B3+B4)*1.1/(B27*B29)</f>
        <v>221.77419354838705</v>
      </c>
      <c r="G2" s="13" t="s">
        <v>7</v>
      </c>
    </row>
    <row r="3" spans="1:16">
      <c r="A3" s="9" t="s">
        <v>2</v>
      </c>
      <c r="B3" s="9">
        <v>1000</v>
      </c>
      <c r="C3" s="9" t="s">
        <v>4</v>
      </c>
      <c r="E3" s="9" t="s">
        <v>34</v>
      </c>
      <c r="F3" s="10" t="str">
        <f>IF(F2&gt;B6,"UNSAFE","SAFE")</f>
        <v>SAFE</v>
      </c>
      <c r="G3" s="9"/>
    </row>
    <row r="4" spans="1:16">
      <c r="A4" s="9" t="s">
        <v>3</v>
      </c>
      <c r="B4" s="9">
        <v>1500</v>
      </c>
      <c r="C4" s="9" t="s">
        <v>4</v>
      </c>
      <c r="E4" s="9" t="s">
        <v>32</v>
      </c>
      <c r="F4" s="9">
        <f>(B3+B4)/(B27*B29)*1.5</f>
        <v>302.41935483870964</v>
      </c>
      <c r="G4" s="9" t="s">
        <v>7</v>
      </c>
    </row>
    <row r="5" spans="1:16">
      <c r="A5" s="9" t="s">
        <v>5</v>
      </c>
      <c r="B5" s="9">
        <v>4.5</v>
      </c>
      <c r="C5" s="9" t="s">
        <v>8</v>
      </c>
      <c r="E5" s="8" t="s">
        <v>33</v>
      </c>
    </row>
    <row r="6" spans="1:16">
      <c r="A6" s="9" t="s">
        <v>6</v>
      </c>
      <c r="B6" s="9">
        <v>250</v>
      </c>
      <c r="C6" s="9" t="s">
        <v>7</v>
      </c>
      <c r="E6" s="9" t="s">
        <v>2</v>
      </c>
      <c r="F6" s="9">
        <f>B3*1.5</f>
        <v>1500</v>
      </c>
      <c r="G6" s="9" t="s">
        <v>4</v>
      </c>
    </row>
    <row r="7" spans="1:16">
      <c r="A7" s="9" t="s">
        <v>9</v>
      </c>
      <c r="B7" s="9">
        <v>415</v>
      </c>
      <c r="C7" s="9" t="s">
        <v>11</v>
      </c>
      <c r="E7" s="9" t="s">
        <v>3</v>
      </c>
      <c r="F7" s="9">
        <f>B4*1.5</f>
        <v>2250</v>
      </c>
      <c r="G7" s="9" t="s">
        <v>4</v>
      </c>
    </row>
    <row r="8" spans="1:16">
      <c r="A8" s="9" t="s">
        <v>10</v>
      </c>
      <c r="B8" s="9">
        <v>30</v>
      </c>
      <c r="C8" s="9" t="s">
        <v>11</v>
      </c>
      <c r="E8" s="9" t="s">
        <v>35</v>
      </c>
      <c r="F8" s="9">
        <f>B29*F4</f>
        <v>604.83870967741927</v>
      </c>
      <c r="G8" s="9" t="s">
        <v>36</v>
      </c>
    </row>
    <row r="9" spans="1:16">
      <c r="A9" s="9" t="s">
        <v>15</v>
      </c>
      <c r="B9" s="9"/>
      <c r="C9" s="9"/>
    </row>
    <row r="10" spans="1:16">
      <c r="A10" s="9" t="s">
        <v>16</v>
      </c>
      <c r="B10" s="9"/>
      <c r="C10" s="9"/>
      <c r="E10" s="8" t="s">
        <v>37</v>
      </c>
    </row>
    <row r="11" spans="1:16">
      <c r="A11" s="9" t="s">
        <v>14</v>
      </c>
      <c r="B11" s="9" t="s">
        <v>12</v>
      </c>
      <c r="C11" s="9" t="s">
        <v>13</v>
      </c>
      <c r="E11" s="9" t="s">
        <v>38</v>
      </c>
      <c r="F11" s="9">
        <f>F6-F8*(B25+C12/2)</f>
        <v>1258.0645161290322</v>
      </c>
      <c r="G11" s="9" t="s">
        <v>4</v>
      </c>
      <c r="H11" s="9">
        <f>((F7)-(F8*H13))</f>
        <v>0</v>
      </c>
    </row>
    <row r="12" spans="1:16">
      <c r="A12" s="9"/>
      <c r="B12" s="9">
        <v>0.4</v>
      </c>
      <c r="C12" s="9">
        <v>0.4</v>
      </c>
      <c r="E12" s="9" t="s">
        <v>39</v>
      </c>
      <c r="F12" s="9">
        <f>-F8*(B26-B24)+F7</f>
        <v>1463.7096774193546</v>
      </c>
      <c r="G12" s="9" t="s">
        <v>4</v>
      </c>
      <c r="H12" s="9">
        <v>0</v>
      </c>
    </row>
    <row r="13" spans="1:16">
      <c r="A13" s="9" t="s">
        <v>17</v>
      </c>
      <c r="B13" s="9">
        <v>20</v>
      </c>
      <c r="C13" s="9" t="s">
        <v>18</v>
      </c>
      <c r="E13" s="9" t="s">
        <v>41</v>
      </c>
      <c r="F13" s="9">
        <f>H13-(B26-B24)</f>
        <v>2.42</v>
      </c>
      <c r="G13" s="9" t="s">
        <v>8</v>
      </c>
      <c r="H13" s="9">
        <v>3.7200000000000006</v>
      </c>
    </row>
    <row r="14" spans="1:16">
      <c r="A14" s="9" t="s">
        <v>19</v>
      </c>
      <c r="B14" s="9">
        <v>4</v>
      </c>
      <c r="C14" s="9"/>
    </row>
    <row r="15" spans="1:16">
      <c r="A15" s="9" t="s">
        <v>14</v>
      </c>
      <c r="B15" s="9" t="s">
        <v>12</v>
      </c>
      <c r="C15" s="9" t="s">
        <v>13</v>
      </c>
      <c r="E15" s="8" t="s">
        <v>40</v>
      </c>
    </row>
    <row r="16" spans="1:16">
      <c r="A16" s="9"/>
      <c r="B16" s="9">
        <v>0.5</v>
      </c>
      <c r="C16" s="9">
        <v>0.5</v>
      </c>
      <c r="E16" s="9" t="s">
        <v>42</v>
      </c>
      <c r="F16" s="9">
        <v>0.15</v>
      </c>
      <c r="G16" s="9" t="s">
        <v>45</v>
      </c>
    </row>
    <row r="17" spans="1:8">
      <c r="A17" s="9" t="s">
        <v>17</v>
      </c>
      <c r="B17" s="9">
        <v>28</v>
      </c>
      <c r="C17" s="9" t="s">
        <v>18</v>
      </c>
      <c r="E17" s="9" t="s">
        <v>43</v>
      </c>
      <c r="F17" s="9">
        <v>0.28999999999999998</v>
      </c>
      <c r="G17" s="9" t="s">
        <v>11</v>
      </c>
    </row>
    <row r="18" spans="1:8">
      <c r="A18" s="9" t="s">
        <v>19</v>
      </c>
      <c r="B18" s="9">
        <v>4</v>
      </c>
      <c r="C18" s="9"/>
      <c r="E18" s="9" t="s">
        <v>44</v>
      </c>
      <c r="F18" s="11">
        <f>F12*(F13-C16/2)/(F13*F17*1000*B29*(1+F12/(F13*F17*1000*B29)))</f>
        <v>1.1077457119520828</v>
      </c>
      <c r="G18" s="9" t="s">
        <v>8</v>
      </c>
    </row>
    <row r="19" spans="1:8">
      <c r="A19" s="9" t="s">
        <v>20</v>
      </c>
      <c r="B19" s="9">
        <f>(B3+B4)*1.1/B6</f>
        <v>11</v>
      </c>
      <c r="C19" s="9" t="s">
        <v>21</v>
      </c>
      <c r="E19" s="9" t="s">
        <v>46</v>
      </c>
      <c r="F19" s="9">
        <f>F18*1000+50+B17/2</f>
        <v>1171.7457119520827</v>
      </c>
      <c r="G19" s="9" t="s">
        <v>18</v>
      </c>
    </row>
    <row r="20" spans="1:8">
      <c r="E20" s="9" t="s">
        <v>47</v>
      </c>
      <c r="F20" s="9">
        <f>ROUNDUP(F19,-1)</f>
        <v>1180</v>
      </c>
      <c r="G20" s="9" t="s">
        <v>18</v>
      </c>
    </row>
    <row r="21" spans="1:8">
      <c r="A21" s="8" t="s">
        <v>28</v>
      </c>
      <c r="E21" s="9" t="s">
        <v>48</v>
      </c>
      <c r="F21" s="9">
        <f>F20-B17/2-50</f>
        <v>1116</v>
      </c>
      <c r="G21" s="9" t="s">
        <v>18</v>
      </c>
    </row>
    <row r="22" spans="1:8">
      <c r="A22" s="9" t="s">
        <v>22</v>
      </c>
    </row>
    <row r="23" spans="1:8">
      <c r="A23" s="9" t="s">
        <v>23</v>
      </c>
      <c r="B23" s="9">
        <f>B4*B5/(B3+B4)</f>
        <v>2.7</v>
      </c>
      <c r="C23" s="9" t="s">
        <v>8</v>
      </c>
      <c r="E23" s="8" t="s">
        <v>49</v>
      </c>
    </row>
    <row r="24" spans="1:8">
      <c r="A24" s="9" t="s">
        <v>24</v>
      </c>
      <c r="B24" s="9">
        <f>B3*B5/(B3+B4)</f>
        <v>1.8</v>
      </c>
      <c r="C24" s="9" t="s">
        <v>8</v>
      </c>
      <c r="E24" s="9" t="s">
        <v>52</v>
      </c>
      <c r="F24" s="9">
        <f>F7*F13-(F13+B26-B24)*F8*(F13+B26-B24)/2</f>
        <v>1259.9999999999991</v>
      </c>
      <c r="G24" s="9" t="s">
        <v>51</v>
      </c>
    </row>
    <row r="25" spans="1:8">
      <c r="A25" s="9" t="s">
        <v>25</v>
      </c>
      <c r="B25" s="9">
        <v>0.2</v>
      </c>
      <c r="C25" s="9" t="s">
        <v>8</v>
      </c>
      <c r="E25" s="9" t="s">
        <v>50</v>
      </c>
      <c r="F25" s="9">
        <f>F24*10^6/(B29*1000*F21^2)</f>
        <v>0.50583882529772195</v>
      </c>
      <c r="G25" s="9"/>
    </row>
    <row r="26" spans="1:8">
      <c r="A26" s="9" t="s">
        <v>26</v>
      </c>
      <c r="B26" s="9">
        <f>B23+B25+C12/2</f>
        <v>3.1000000000000005</v>
      </c>
      <c r="C26" s="9" t="s">
        <v>8</v>
      </c>
      <c r="E26" s="9" t="s">
        <v>53</v>
      </c>
      <c r="F26" s="9">
        <f>0.5*B8/B7*(1-SQRT(1-(4.598*F25)/B8))*1000*F21</f>
        <v>1595.1832707119893</v>
      </c>
      <c r="G26" s="9" t="s">
        <v>54</v>
      </c>
    </row>
    <row r="27" spans="1:8">
      <c r="A27" s="9" t="s">
        <v>27</v>
      </c>
      <c r="B27" s="9">
        <f>2*B26</f>
        <v>6.2000000000000011</v>
      </c>
      <c r="C27" s="9" t="s">
        <v>8</v>
      </c>
      <c r="E27" s="9" t="s">
        <v>55</v>
      </c>
      <c r="F27" s="9">
        <f>F16*1000*F21/100</f>
        <v>1674</v>
      </c>
      <c r="G27" s="9" t="s">
        <v>54</v>
      </c>
      <c r="H27" s="10" t="str">
        <f>IF(F27&gt;F26,"SAFE","UNSAFE")</f>
        <v>SAFE</v>
      </c>
    </row>
    <row r="28" spans="1:8">
      <c r="A28" s="9" t="s">
        <v>29</v>
      </c>
      <c r="B28" s="9">
        <f>B19/B27</f>
        <v>1.7741935483870965</v>
      </c>
      <c r="C28" s="9" t="s">
        <v>8</v>
      </c>
    </row>
    <row r="29" spans="1:8">
      <c r="A29" s="9" t="s">
        <v>30</v>
      </c>
      <c r="B29" s="9">
        <f>ROUNDUP(B28,0)</f>
        <v>2</v>
      </c>
      <c r="C29" s="9" t="s">
        <v>8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tabSelected="1" workbookViewId="0">
      <selection activeCell="J20" sqref="J20"/>
    </sheetView>
  </sheetViews>
  <sheetFormatPr defaultColWidth="8.875" defaultRowHeight="15"/>
  <cols>
    <col min="1" max="1" width="39.875" style="1" bestFit="1" customWidth="1"/>
    <col min="2" max="4" width="8.875" style="1"/>
    <col min="5" max="5" width="40.5" style="1" bestFit="1" customWidth="1"/>
    <col min="6" max="6" width="12" style="1" bestFit="1" customWidth="1"/>
    <col min="7" max="7" width="8.875" style="1"/>
    <col min="8" max="8" width="9.25" style="1" bestFit="1" customWidth="1"/>
    <col min="9" max="9" width="28.75" style="1" bestFit="1" customWidth="1"/>
    <col min="10" max="16384" width="8.875" style="1"/>
  </cols>
  <sheetData>
    <row r="1" spans="1:16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2" t="s">
        <v>1</v>
      </c>
      <c r="E2" s="1" t="s">
        <v>31</v>
      </c>
      <c r="F2" s="1">
        <f>(B3+B4)*1.1/(B28*B30)</f>
        <v>290.00000000000006</v>
      </c>
      <c r="G2" s="1" t="s">
        <v>7</v>
      </c>
      <c r="I2" s="2" t="s">
        <v>60</v>
      </c>
      <c r="J2" s="5" t="s">
        <v>63</v>
      </c>
      <c r="L2" s="5" t="s">
        <v>64</v>
      </c>
    </row>
    <row r="3" spans="1:16">
      <c r="A3" s="1" t="s">
        <v>2</v>
      </c>
      <c r="B3" s="1">
        <v>1382</v>
      </c>
      <c r="C3" s="1" t="s">
        <v>4</v>
      </c>
      <c r="E3" s="1" t="s">
        <v>34</v>
      </c>
      <c r="F3" s="3" t="str">
        <f>IF(F2&gt;B6,"UNSAFE","SAFE")</f>
        <v>SAFE</v>
      </c>
      <c r="I3" s="5" t="s">
        <v>61</v>
      </c>
      <c r="J3" s="1">
        <f>C12+F21/1000</f>
        <v>1.1059999999999999</v>
      </c>
      <c r="K3" s="5" t="s">
        <v>62</v>
      </c>
      <c r="L3" s="1">
        <f>B12+F21/1000</f>
        <v>1.256</v>
      </c>
      <c r="M3" s="5" t="s">
        <v>8</v>
      </c>
    </row>
    <row r="4" spans="1:16">
      <c r="A4" s="1" t="s">
        <v>3</v>
      </c>
      <c r="B4" s="1">
        <v>1286</v>
      </c>
      <c r="C4" s="1" t="s">
        <v>4</v>
      </c>
      <c r="E4" s="1" t="s">
        <v>32</v>
      </c>
      <c r="F4" s="1">
        <f>(B3+B4)/(B28*B30)*1.5</f>
        <v>395.4545454545455</v>
      </c>
      <c r="G4" s="1" t="s">
        <v>7</v>
      </c>
      <c r="I4" s="5" t="s">
        <v>65</v>
      </c>
      <c r="J4" s="1">
        <f>C16+F21/1000</f>
        <v>1.1059999999999999</v>
      </c>
      <c r="K4" s="5" t="s">
        <v>62</v>
      </c>
      <c r="L4" s="1">
        <f>B12+F21/1000</f>
        <v>1.256</v>
      </c>
      <c r="M4" s="5" t="s">
        <v>8</v>
      </c>
    </row>
    <row r="5" spans="1:16">
      <c r="A5" s="1" t="s">
        <v>5</v>
      </c>
      <c r="B5" s="1">
        <v>2.23</v>
      </c>
      <c r="C5" s="1" t="s">
        <v>8</v>
      </c>
      <c r="E5" s="2" t="s">
        <v>33</v>
      </c>
      <c r="I5" s="5" t="s">
        <v>69</v>
      </c>
    </row>
    <row r="6" spans="1:16">
      <c r="A6" s="1" t="s">
        <v>6</v>
      </c>
      <c r="B6" s="1">
        <v>300</v>
      </c>
      <c r="C6" s="1" t="s">
        <v>7</v>
      </c>
      <c r="E6" s="1" t="s">
        <v>2</v>
      </c>
      <c r="F6" s="1">
        <f>B3*1.5</f>
        <v>2073</v>
      </c>
      <c r="G6" s="1" t="s">
        <v>4</v>
      </c>
      <c r="I6" s="5" t="s">
        <v>66</v>
      </c>
      <c r="J6" s="1">
        <f>F6-(J3*L3)*F4</f>
        <v>1523.6598545454544</v>
      </c>
      <c r="K6" s="5" t="s">
        <v>4</v>
      </c>
    </row>
    <row r="7" spans="1:16">
      <c r="A7" s="1" t="s">
        <v>9</v>
      </c>
      <c r="B7" s="1">
        <v>500</v>
      </c>
      <c r="C7" s="1" t="s">
        <v>11</v>
      </c>
      <c r="E7" s="1" t="s">
        <v>3</v>
      </c>
      <c r="F7" s="1">
        <f>B4*1.5</f>
        <v>1929</v>
      </c>
      <c r="G7" s="1" t="s">
        <v>4</v>
      </c>
      <c r="I7" s="5" t="s">
        <v>67</v>
      </c>
      <c r="J7" s="1">
        <f>J6/((L3+J3)*2*F21)</f>
        <v>0.63742283727591276</v>
      </c>
    </row>
    <row r="8" spans="1:16">
      <c r="A8" s="1" t="s">
        <v>10</v>
      </c>
      <c r="B8" s="1">
        <v>30</v>
      </c>
      <c r="C8" s="1" t="s">
        <v>11</v>
      </c>
      <c r="E8" s="1" t="s">
        <v>35</v>
      </c>
      <c r="F8" s="1">
        <f>B30*F4</f>
        <v>909.54545454545462</v>
      </c>
      <c r="G8" s="1" t="s">
        <v>36</v>
      </c>
      <c r="I8" s="5" t="s">
        <v>68</v>
      </c>
      <c r="J8" s="1">
        <f>0.25*SQRT(B8)</f>
        <v>1.3693063937629153</v>
      </c>
    </row>
    <row r="9" spans="1:16">
      <c r="A9" s="1" t="s">
        <v>15</v>
      </c>
      <c r="J9" s="3" t="str">
        <f>IF(J7&gt;J8,"UNSAFE","SAFE")</f>
        <v>SAFE</v>
      </c>
    </row>
    <row r="10" spans="1:16">
      <c r="A10" s="1" t="s">
        <v>16</v>
      </c>
      <c r="E10" s="2" t="s">
        <v>37</v>
      </c>
      <c r="I10" s="5" t="s">
        <v>70</v>
      </c>
    </row>
    <row r="11" spans="1:16">
      <c r="A11" s="1" t="s">
        <v>14</v>
      </c>
      <c r="B11" s="1" t="s">
        <v>12</v>
      </c>
      <c r="C11" s="1" t="s">
        <v>13</v>
      </c>
      <c r="E11" s="1" t="s">
        <v>38</v>
      </c>
      <c r="F11" s="1">
        <f>F6-F8*(B28/2-B23)</f>
        <v>1049.6522727272725</v>
      </c>
      <c r="G11" s="1" t="s">
        <v>4</v>
      </c>
      <c r="I11" s="5" t="s">
        <v>66</v>
      </c>
      <c r="J11" s="1">
        <f>F7-((J4+L4)*F4)</f>
        <v>994.93636363636347</v>
      </c>
    </row>
    <row r="12" spans="1:16">
      <c r="B12" s="1">
        <v>0.75</v>
      </c>
      <c r="C12" s="1">
        <v>0.6</v>
      </c>
      <c r="E12" s="1" t="s">
        <v>39</v>
      </c>
      <c r="F12" s="1">
        <f>F7-F8*(B28/2-B24)</f>
        <v>978.63409090909067</v>
      </c>
      <c r="G12" s="1" t="s">
        <v>4</v>
      </c>
      <c r="I12" s="5" t="s">
        <v>67</v>
      </c>
      <c r="J12" s="1">
        <f>J11/((J4+L4)*2*F21)</f>
        <v>0.41623145607342016</v>
      </c>
    </row>
    <row r="13" spans="1:16">
      <c r="A13" s="1" t="s">
        <v>17</v>
      </c>
      <c r="B13" s="1">
        <v>20</v>
      </c>
      <c r="C13" s="1" t="s">
        <v>18</v>
      </c>
      <c r="E13" s="1" t="s">
        <v>41</v>
      </c>
      <c r="F13" s="1">
        <f>F11*B5/(F11+F12)</f>
        <v>1.15404047976012</v>
      </c>
      <c r="G13" s="1" t="s">
        <v>8</v>
      </c>
      <c r="I13" s="5" t="s">
        <v>68</v>
      </c>
      <c r="J13" s="5">
        <f>0.25*SQRT(B8)</f>
        <v>1.3693063937629153</v>
      </c>
    </row>
    <row r="14" spans="1:16">
      <c r="A14" s="1" t="s">
        <v>19</v>
      </c>
      <c r="B14" s="1">
        <v>4</v>
      </c>
      <c r="J14" s="3" t="str">
        <f>IF(J12&gt;J13,"UNSAFE","SAFE")</f>
        <v>SAFE</v>
      </c>
    </row>
    <row r="15" spans="1:16">
      <c r="A15" s="1" t="s">
        <v>14</v>
      </c>
      <c r="B15" s="1" t="s">
        <v>12</v>
      </c>
      <c r="C15" s="1" t="s">
        <v>13</v>
      </c>
      <c r="E15" s="2" t="s">
        <v>40</v>
      </c>
    </row>
    <row r="16" spans="1:16">
      <c r="B16" s="1">
        <v>0.75</v>
      </c>
      <c r="C16" s="1">
        <v>0.6</v>
      </c>
      <c r="E16" s="1" t="s">
        <v>42</v>
      </c>
      <c r="F16" s="1">
        <v>0.25</v>
      </c>
      <c r="G16" s="1" t="s">
        <v>45</v>
      </c>
      <c r="I16" s="5" t="s">
        <v>71</v>
      </c>
    </row>
    <row r="17" spans="1:11">
      <c r="A17" s="1" t="s">
        <v>17</v>
      </c>
      <c r="B17" s="1">
        <v>28</v>
      </c>
      <c r="C17" s="1" t="s">
        <v>18</v>
      </c>
      <c r="E17" s="1" t="s">
        <v>43</v>
      </c>
      <c r="F17" s="1">
        <v>0.37</v>
      </c>
      <c r="G17" s="1" t="s">
        <v>11</v>
      </c>
      <c r="I17" s="5" t="s">
        <v>72</v>
      </c>
      <c r="J17" s="1">
        <f>(B30-B12)/2</f>
        <v>0.77499999999999991</v>
      </c>
      <c r="K17" s="5" t="s">
        <v>8</v>
      </c>
    </row>
    <row r="18" spans="1:11">
      <c r="A18" s="1" t="s">
        <v>19</v>
      </c>
      <c r="B18" s="1">
        <v>4</v>
      </c>
      <c r="E18" s="1" t="s">
        <v>44</v>
      </c>
      <c r="F18" s="4">
        <f>(SQRT(F24*10^6/(B8*B30*1000*0.138))*2)/1000</f>
        <v>0.4980501156454476</v>
      </c>
      <c r="G18" s="1" t="s">
        <v>8</v>
      </c>
      <c r="H18" s="1">
        <f>F12*(F13-C16/2)/(F13*F17*1000*B30*(1+F12/(F13*F17*1000*B30)))</f>
        <v>0.42626792511756256</v>
      </c>
    </row>
    <row r="19" spans="1:11">
      <c r="A19" s="1" t="s">
        <v>20</v>
      </c>
      <c r="B19" s="1">
        <f>(B3+B4)*1.1/B6</f>
        <v>9.7826666666666675</v>
      </c>
      <c r="C19" s="1" t="s">
        <v>21</v>
      </c>
      <c r="E19" s="1" t="s">
        <v>46</v>
      </c>
      <c r="F19" s="1">
        <f>F18*1000+50+B17/2</f>
        <v>562.05011564544759</v>
      </c>
      <c r="G19" s="1" t="s">
        <v>18</v>
      </c>
    </row>
    <row r="20" spans="1:11">
      <c r="E20" s="1" t="s">
        <v>47</v>
      </c>
      <c r="F20" s="1">
        <f>ROUNDUP(F19,-1)</f>
        <v>570</v>
      </c>
      <c r="G20" s="1" t="s">
        <v>18</v>
      </c>
    </row>
    <row r="21" spans="1:11">
      <c r="A21" s="2" t="s">
        <v>28</v>
      </c>
      <c r="E21" s="1" t="s">
        <v>48</v>
      </c>
      <c r="F21" s="1">
        <f>F20-B17/2-50</f>
        <v>506</v>
      </c>
      <c r="G21" s="1" t="s">
        <v>18</v>
      </c>
    </row>
    <row r="22" spans="1:11">
      <c r="A22" s="1" t="s">
        <v>22</v>
      </c>
      <c r="G22" s="1" t="s">
        <v>58</v>
      </c>
      <c r="H22" s="1">
        <f>F11*(B26-B23)*0.5</f>
        <v>590.49235107162326</v>
      </c>
    </row>
    <row r="23" spans="1:11">
      <c r="A23" s="1" t="s">
        <v>23</v>
      </c>
      <c r="B23" s="1">
        <f>B4*B5/(B3+B4)</f>
        <v>1.074880059970015</v>
      </c>
      <c r="C23" s="1" t="s">
        <v>8</v>
      </c>
      <c r="E23" s="2" t="s">
        <v>49</v>
      </c>
      <c r="G23" s="1" t="s">
        <v>59</v>
      </c>
      <c r="H23" s="1">
        <f>F12*(B28/2-B24)*0.5</f>
        <v>511.277623798896</v>
      </c>
    </row>
    <row r="24" spans="1:11">
      <c r="A24" s="1" t="s">
        <v>24</v>
      </c>
      <c r="B24" s="1">
        <f>B3*B5/(B3+B4)</f>
        <v>1.155119940029985</v>
      </c>
      <c r="C24" s="1" t="s">
        <v>8</v>
      </c>
      <c r="E24" s="1" t="s">
        <v>52</v>
      </c>
      <c r="F24" s="1">
        <f>H22</f>
        <v>590.49235107162326</v>
      </c>
      <c r="G24" s="1" t="s">
        <v>51</v>
      </c>
      <c r="H24" s="1">
        <f>F7*F13-(F13+B26-B24)*F8*(F13+B26-B24)/2</f>
        <v>27.203555540411344</v>
      </c>
    </row>
    <row r="25" spans="1:11">
      <c r="A25" s="1" t="s">
        <v>25</v>
      </c>
      <c r="B25" s="1">
        <v>1</v>
      </c>
      <c r="C25" s="1" t="s">
        <v>8</v>
      </c>
      <c r="E25" s="1" t="s">
        <v>50</v>
      </c>
      <c r="F25" s="1">
        <f>F24*10^6/(B30*1000*F21^2)</f>
        <v>1.0027332281934931</v>
      </c>
    </row>
    <row r="26" spans="1:11">
      <c r="A26" s="1" t="s">
        <v>26</v>
      </c>
      <c r="B26" s="1">
        <f>B28/2</f>
        <v>2.2000000000000002</v>
      </c>
      <c r="C26" s="1" t="s">
        <v>8</v>
      </c>
      <c r="E26" s="1" t="s">
        <v>53</v>
      </c>
      <c r="F26" s="1">
        <f>0.5*B8/B7*(1-SQRT(1-(4.598*F25)/B8))*1000*F21</f>
        <v>1215.1060482368348</v>
      </c>
      <c r="G26" s="1" t="s">
        <v>54</v>
      </c>
    </row>
    <row r="27" spans="1:11">
      <c r="A27" s="1" t="s">
        <v>57</v>
      </c>
      <c r="B27" s="1">
        <f>2*B26</f>
        <v>4.4000000000000004</v>
      </c>
      <c r="C27" s="1" t="s">
        <v>8</v>
      </c>
    </row>
    <row r="28" spans="1:11">
      <c r="A28" s="1" t="s">
        <v>56</v>
      </c>
      <c r="B28" s="1">
        <v>4.4000000000000004</v>
      </c>
      <c r="C28" s="1" t="s">
        <v>8</v>
      </c>
      <c r="E28" s="1" t="s">
        <v>55</v>
      </c>
      <c r="F28" s="1">
        <f>F16*1000*F21/100</f>
        <v>1265</v>
      </c>
      <c r="G28" s="1" t="s">
        <v>54</v>
      </c>
      <c r="H28" s="3" t="str">
        <f>IF(F28&gt;F26,"SAFE","UNSAFE")</f>
        <v>SAFE</v>
      </c>
    </row>
    <row r="29" spans="1:11">
      <c r="A29" s="1" t="s">
        <v>29</v>
      </c>
      <c r="B29" s="1">
        <f>B19/B28</f>
        <v>2.2233333333333332</v>
      </c>
      <c r="C29" s="1" t="s">
        <v>8</v>
      </c>
    </row>
    <row r="30" spans="1:11">
      <c r="A30" s="1" t="s">
        <v>30</v>
      </c>
      <c r="B30" s="1">
        <v>2.2999999999999998</v>
      </c>
      <c r="C30" s="1" t="s">
        <v>8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Jetla Chandu</dc:creator>
  <cp:lastModifiedBy>CAD LAB</cp:lastModifiedBy>
  <dcterms:created xsi:type="dcterms:W3CDTF">2025-10-29T03:19:08Z</dcterms:created>
  <dcterms:modified xsi:type="dcterms:W3CDTF">2025-10-30T09:58:20Z</dcterms:modified>
</cp:coreProperties>
</file>