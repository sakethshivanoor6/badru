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60" windowWidth="21015" windowHeight="7710" activeTab="1"/>
  </bookViews>
  <sheets>
    <sheet name="Sheet1" sheetId="1" r:id="rId1"/>
    <sheet name="Sheet1 (2)" sheetId="3" r:id="rId2"/>
  </sheets>
  <calcPr calcId="12451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0" i="1"/>
  <c r="M17"/>
  <c r="L17" i="3"/>
  <c r="K9"/>
  <c r="B26"/>
  <c r="K30" i="1"/>
  <c r="E31" i="3"/>
  <c r="H32"/>
  <c r="B27"/>
  <c r="E22"/>
  <c r="B19"/>
  <c r="B18"/>
  <c r="B17"/>
  <c r="H14" s="1"/>
  <c r="H12"/>
  <c r="E11"/>
  <c r="B27" i="1"/>
  <c r="B21" i="3" l="1"/>
  <c r="B20"/>
  <c r="E20"/>
  <c r="E24" s="1"/>
  <c r="J5"/>
  <c r="H21"/>
  <c r="H32" i="1"/>
  <c r="B17"/>
  <c r="B21" s="1"/>
  <c r="B18"/>
  <c r="B19" s="1"/>
  <c r="H12"/>
  <c r="E11"/>
  <c r="B25" i="3" l="1"/>
  <c r="J5" i="1"/>
  <c r="E20"/>
  <c r="H14"/>
  <c r="H21" s="1"/>
  <c r="B20"/>
  <c r="B25" s="1"/>
  <c r="B28" i="3" l="1"/>
  <c r="B30" s="1"/>
  <c r="H26"/>
  <c r="H13"/>
  <c r="H16" s="1"/>
  <c r="B38"/>
  <c r="H31"/>
  <c r="B38" i="1"/>
  <c r="B26"/>
  <c r="B28" s="1"/>
  <c r="B30" s="1"/>
  <c r="H33" s="1"/>
  <c r="H34" s="1"/>
  <c r="H26"/>
  <c r="H31"/>
  <c r="H13"/>
  <c r="H16" s="1"/>
  <c r="B34" i="3" l="1"/>
  <c r="B39" s="1"/>
  <c r="B35"/>
  <c r="H33"/>
  <c r="H34" s="1"/>
  <c r="B35" i="1"/>
  <c r="H5" s="1"/>
  <c r="B34"/>
  <c r="E7" i="3" l="1"/>
  <c r="E8" s="1"/>
  <c r="E23" s="1"/>
  <c r="E25"/>
  <c r="H5"/>
  <c r="H19"/>
  <c r="H20" s="1"/>
  <c r="H23" s="1"/>
  <c r="B39" i="1"/>
  <c r="H19"/>
  <c r="E7"/>
  <c r="E8" s="1"/>
  <c r="E26" i="3" l="1"/>
  <c r="E27" s="1"/>
  <c r="E28" s="1"/>
  <c r="E29" s="1"/>
  <c r="E32"/>
  <c r="H15"/>
  <c r="H8"/>
  <c r="H23" i="1"/>
  <c r="H20"/>
  <c r="H15"/>
  <c r="H8"/>
  <c r="E12"/>
  <c r="E13" s="1"/>
  <c r="E15" s="1"/>
  <c r="H6" s="1"/>
  <c r="E33" i="3" l="1"/>
  <c r="M9"/>
  <c r="E30"/>
  <c r="H6" s="1"/>
  <c r="M28"/>
  <c r="E19" i="1"/>
  <c r="E21" s="1"/>
  <c r="H27"/>
  <c r="E19" i="3" l="1"/>
  <c r="E21" s="1"/>
  <c r="H27"/>
</calcChain>
</file>

<file path=xl/sharedStrings.xml><?xml version="1.0" encoding="utf-8"?>
<sst xmlns="http://schemas.openxmlformats.org/spreadsheetml/2006/main" count="237" uniqueCount="90">
  <si>
    <t>INPUT DETAILS</t>
  </si>
  <si>
    <t>CLEAR SPAN</t>
  </si>
  <si>
    <t>WIDTH OF SUPPORT</t>
  </si>
  <si>
    <t>WORKING LIVE LOAD</t>
  </si>
  <si>
    <t>GRADE OF CONCRETE</t>
  </si>
  <si>
    <t>GRADE OF STEEL</t>
  </si>
  <si>
    <t>m</t>
  </si>
  <si>
    <t>mm</t>
  </si>
  <si>
    <t>KN/m</t>
  </si>
  <si>
    <t>Mpa</t>
  </si>
  <si>
    <t>CROSS SECTIONAL DIMENIONS</t>
  </si>
  <si>
    <t>EFFECTIVE DEPTH (d)</t>
  </si>
  <si>
    <t>LET DEPTH RATIO</t>
  </si>
  <si>
    <t>DIA OF BAR</t>
  </si>
  <si>
    <t xml:space="preserve">CLEAR COVER </t>
  </si>
  <si>
    <t>DIA OF STIRRUPS</t>
  </si>
  <si>
    <t>EFFECTIVE COVER(REQ)</t>
  </si>
  <si>
    <t>EFFECTIVE COVER(PRO)(d')</t>
  </si>
  <si>
    <t>OVERALL DEPTH(D)</t>
  </si>
  <si>
    <t>EFFECTIVE SPAN LENGTH</t>
  </si>
  <si>
    <t>M</t>
  </si>
  <si>
    <t>DESIGN OF BEAM</t>
  </si>
  <si>
    <t>LOAD CALCULATIONS</t>
  </si>
  <si>
    <t>DEAD LOADS</t>
  </si>
  <si>
    <t>UNIT WEIGHT OF CONCRETE(RCC)</t>
  </si>
  <si>
    <t>KN/m^3</t>
  </si>
  <si>
    <t>WIDTH OF A BEAM(ASSUME)</t>
  </si>
  <si>
    <t>LIVE LOAD(L.L)</t>
  </si>
  <si>
    <t>TOTAL LOAD (W)</t>
  </si>
  <si>
    <t>DESIGN ULTIMATE LOAD (Wu)</t>
  </si>
  <si>
    <t>PARTIAL SAFTEY FACTOR</t>
  </si>
  <si>
    <t>ULTIMATE MOMENT &amp; SHEAR FORCE</t>
  </si>
  <si>
    <t>Mu</t>
  </si>
  <si>
    <t>SHEAR FORCE</t>
  </si>
  <si>
    <t>TENSION REINFORCEMENT</t>
  </si>
  <si>
    <t>Mu LIMIT</t>
  </si>
  <si>
    <t>KNm</t>
  </si>
  <si>
    <t>KN</t>
  </si>
  <si>
    <t>CHECK</t>
  </si>
  <si>
    <t>AST(REQ)</t>
  </si>
  <si>
    <t>Mu/Bd^2</t>
  </si>
  <si>
    <t>N/mm^2</t>
  </si>
  <si>
    <t>mm^2</t>
  </si>
  <si>
    <t>MINIMUM AST</t>
  </si>
  <si>
    <t>AST(min)</t>
  </si>
  <si>
    <t>AREA OF SINGLE BAR(ast)</t>
  </si>
  <si>
    <t>No.OF BARS (PROVIDE)</t>
  </si>
  <si>
    <t>No.OF BARS (REQ)</t>
  </si>
  <si>
    <t>AST (PROVIDED)</t>
  </si>
  <si>
    <t>CHECK FOR SHAER</t>
  </si>
  <si>
    <t>TOV</t>
  </si>
  <si>
    <t>N/sqmm</t>
  </si>
  <si>
    <t>% OF STEEL (Pt)</t>
  </si>
  <si>
    <t>%</t>
  </si>
  <si>
    <t>TOC FOR Pt %</t>
  </si>
  <si>
    <t>STIRRUPS AND ITS SPACING</t>
  </si>
  <si>
    <t>Asv</t>
  </si>
  <si>
    <t>Sv</t>
  </si>
  <si>
    <t>permissible</t>
  </si>
  <si>
    <t>Shear Reinforcement</t>
  </si>
  <si>
    <t>Vus</t>
  </si>
  <si>
    <t>Fy</t>
  </si>
  <si>
    <t>ADOPT SPACING</t>
  </si>
  <si>
    <t>ADOPT SPACING =</t>
  </si>
  <si>
    <t>sqmm</t>
  </si>
  <si>
    <t>mN/sqmm</t>
  </si>
  <si>
    <t>Depth of Neutral axis</t>
  </si>
  <si>
    <t>Xu</t>
  </si>
  <si>
    <t>fy</t>
  </si>
  <si>
    <t>Xu limit</t>
  </si>
  <si>
    <t>CHECK FOR DEFLECTION</t>
  </si>
  <si>
    <t>CHECK FOR LATERAL BUCKLING</t>
  </si>
  <si>
    <t>AST1</t>
  </si>
  <si>
    <t>Fsc</t>
  </si>
  <si>
    <t>Asc</t>
  </si>
  <si>
    <t>check</t>
  </si>
  <si>
    <t>MOE of Steel</t>
  </si>
  <si>
    <t>AST2</t>
  </si>
  <si>
    <t xml:space="preserve">ASt(req) </t>
  </si>
  <si>
    <t xml:space="preserve">no of bars </t>
  </si>
  <si>
    <t xml:space="preserve">no of bars (pro) </t>
  </si>
  <si>
    <t xml:space="preserve">area (pro) </t>
  </si>
  <si>
    <t>sqm</t>
  </si>
  <si>
    <t xml:space="preserve">steel (pro) in concrete </t>
  </si>
  <si>
    <t>no of bars in con zone</t>
  </si>
  <si>
    <t>bar size in con zone</t>
  </si>
  <si>
    <t xml:space="preserve">deflection </t>
  </si>
  <si>
    <t>MOI</t>
  </si>
  <si>
    <t>MOE</t>
  </si>
  <si>
    <t>Reinforcement Details</t>
  </si>
</sst>
</file>

<file path=xl/styles.xml><?xml version="1.0" encoding="utf-8"?>
<styleSheet xmlns="http://schemas.openxmlformats.org/spreadsheetml/2006/main">
  <numFmts count="2">
    <numFmt numFmtId="164" formatCode="0.0"/>
    <numFmt numFmtId="165" formatCode="0.000"/>
  </numFmts>
  <fonts count="4">
    <font>
      <sz val="11"/>
      <color theme="1"/>
      <name val="Calibri"/>
      <family val="2"/>
      <scheme val="minor"/>
    </font>
    <font>
      <b/>
      <i/>
      <sz val="11"/>
      <color theme="1"/>
      <name val="Times New Roman"/>
      <family val="1"/>
    </font>
    <font>
      <sz val="11"/>
      <color theme="1"/>
      <name val="Times New Roman"/>
      <family val="1"/>
    </font>
    <font>
      <b/>
      <sz val="11"/>
      <color theme="1"/>
      <name val="Times New Roman"/>
      <family val="1"/>
    </font>
  </fonts>
  <fills count="8">
    <fill>
      <patternFill patternType="none"/>
    </fill>
    <fill>
      <patternFill patternType="gray125"/>
    </fill>
    <fill>
      <patternFill patternType="solid">
        <fgColor rgb="FF92D050"/>
        <bgColor indexed="64"/>
      </patternFill>
    </fill>
    <fill>
      <patternFill patternType="solid">
        <fgColor theme="4" tint="0.59999389629810485"/>
        <bgColor indexed="64"/>
      </patternFill>
    </fill>
    <fill>
      <patternFill patternType="solid">
        <fgColor rgb="FFFFC000"/>
        <bgColor indexed="64"/>
      </patternFill>
    </fill>
    <fill>
      <patternFill patternType="solid">
        <fgColor theme="8" tint="0.59999389629810485"/>
        <bgColor indexed="64"/>
      </patternFill>
    </fill>
    <fill>
      <patternFill patternType="solid">
        <fgColor theme="6"/>
        <bgColor indexed="64"/>
      </patternFill>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s>
  <cellStyleXfs count="1">
    <xf numFmtId="0" fontId="0" fillId="0" borderId="0"/>
  </cellStyleXfs>
  <cellXfs count="36">
    <xf numFmtId="0" fontId="0" fillId="0" borderId="0" xfId="0"/>
    <xf numFmtId="0" fontId="1" fillId="0" borderId="1" xfId="0" applyFont="1" applyBorder="1"/>
    <xf numFmtId="0" fontId="2" fillId="0" borderId="0" xfId="0" applyFont="1"/>
    <xf numFmtId="0" fontId="2" fillId="4" borderId="1" xfId="0" applyFont="1" applyFill="1" applyBorder="1"/>
    <xf numFmtId="0" fontId="2" fillId="0" borderId="1" xfId="0" applyFont="1" applyBorder="1"/>
    <xf numFmtId="2" fontId="2" fillId="0" borderId="1" xfId="0" applyNumberFormat="1" applyFont="1" applyBorder="1"/>
    <xf numFmtId="0" fontId="2" fillId="2" borderId="1" xfId="0" applyFont="1" applyFill="1" applyBorder="1"/>
    <xf numFmtId="164" fontId="2" fillId="0" borderId="1" xfId="0" applyNumberFormat="1" applyFont="1" applyBorder="1"/>
    <xf numFmtId="1" fontId="2" fillId="0" borderId="1" xfId="0" applyNumberFormat="1" applyFont="1" applyBorder="1"/>
    <xf numFmtId="0" fontId="3" fillId="0" borderId="1" xfId="0" applyFont="1" applyBorder="1"/>
    <xf numFmtId="0" fontId="2" fillId="4" borderId="2" xfId="0" applyFont="1" applyFill="1" applyBorder="1"/>
    <xf numFmtId="0" fontId="2" fillId="0" borderId="2" xfId="0" applyFont="1" applyBorder="1"/>
    <xf numFmtId="0" fontId="2" fillId="0" borderId="4" xfId="0" applyFont="1" applyBorder="1"/>
    <xf numFmtId="0" fontId="2" fillId="2" borderId="4" xfId="0" applyFont="1" applyFill="1" applyBorder="1"/>
    <xf numFmtId="0" fontId="2" fillId="0" borderId="3" xfId="0" applyFont="1" applyBorder="1"/>
    <xf numFmtId="2" fontId="2" fillId="0" borderId="0" xfId="0" applyNumberFormat="1" applyFont="1" applyBorder="1"/>
    <xf numFmtId="0" fontId="2" fillId="5" borderId="2" xfId="0" applyFont="1" applyFill="1" applyBorder="1"/>
    <xf numFmtId="0" fontId="2" fillId="5" borderId="1" xfId="0" applyFont="1" applyFill="1" applyBorder="1"/>
    <xf numFmtId="0" fontId="2" fillId="0" borderId="0" xfId="0" applyFont="1" applyBorder="1"/>
    <xf numFmtId="165" fontId="2" fillId="0" borderId="1" xfId="0" applyNumberFormat="1" applyFont="1" applyBorder="1"/>
    <xf numFmtId="0" fontId="2" fillId="0" borderId="0" xfId="0" applyFont="1" applyFill="1" applyBorder="1"/>
    <xf numFmtId="2" fontId="2" fillId="0" borderId="0" xfId="0" applyNumberFormat="1" applyFont="1" applyFill="1" applyBorder="1"/>
    <xf numFmtId="0" fontId="2" fillId="0" borderId="1" xfId="0" applyFont="1" applyFill="1" applyBorder="1"/>
    <xf numFmtId="0" fontId="2" fillId="6" borderId="1" xfId="0" applyFont="1" applyFill="1" applyBorder="1"/>
    <xf numFmtId="0" fontId="2" fillId="0" borderId="2" xfId="0" applyFont="1" applyFill="1" applyBorder="1"/>
    <xf numFmtId="0" fontId="2" fillId="0" borderId="0" xfId="0" applyFont="1" applyAlignment="1">
      <alignment horizontal="left"/>
    </xf>
    <xf numFmtId="0" fontId="2" fillId="7" borderId="1" xfId="0" applyFont="1" applyFill="1" applyBorder="1"/>
    <xf numFmtId="0" fontId="2" fillId="3" borderId="0" xfId="0" applyFont="1" applyFill="1" applyAlignment="1">
      <alignment horizontal="center"/>
    </xf>
    <xf numFmtId="0" fontId="1" fillId="0" borderId="0" xfId="0" applyFont="1" applyAlignment="1">
      <alignment horizontal="center"/>
    </xf>
    <xf numFmtId="0" fontId="3" fillId="4" borderId="5" xfId="0" applyFont="1" applyFill="1" applyBorder="1" applyAlignment="1">
      <alignment horizontal="center"/>
    </xf>
    <xf numFmtId="0" fontId="3" fillId="4" borderId="6" xfId="0" applyFont="1" applyFill="1" applyBorder="1" applyAlignment="1">
      <alignment horizontal="center"/>
    </xf>
    <xf numFmtId="0" fontId="3" fillId="4" borderId="7" xfId="0" applyFont="1" applyFill="1" applyBorder="1" applyAlignment="1">
      <alignment horizontal="center"/>
    </xf>
    <xf numFmtId="0" fontId="2" fillId="2" borderId="8" xfId="0" applyFont="1" applyFill="1" applyBorder="1" applyAlignment="1">
      <alignment horizontal="center"/>
    </xf>
    <xf numFmtId="0" fontId="2" fillId="2" borderId="0" xfId="0" applyFont="1" applyFill="1" applyBorder="1" applyAlignment="1">
      <alignment horizontal="center"/>
    </xf>
    <xf numFmtId="0" fontId="2" fillId="4" borderId="8" xfId="0" applyFont="1" applyFill="1" applyBorder="1" applyAlignment="1">
      <alignment horizontal="center"/>
    </xf>
    <xf numFmtId="0" fontId="2" fillId="4" borderId="0"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9</xdr:col>
      <xdr:colOff>1304925</xdr:colOff>
      <xdr:row>10</xdr:row>
      <xdr:rowOff>76200</xdr:rowOff>
    </xdr:from>
    <xdr:to>
      <xdr:col>11</xdr:col>
      <xdr:colOff>533400</xdr:colOff>
      <xdr:row>24</xdr:row>
      <xdr:rowOff>28575</xdr:rowOff>
    </xdr:to>
    <xdr:sp macro="" textlink="">
      <xdr:nvSpPr>
        <xdr:cNvPr id="2" name="Rectangle 1"/>
        <xdr:cNvSpPr/>
      </xdr:nvSpPr>
      <xdr:spPr>
        <a:xfrm>
          <a:off x="15840075" y="1981200"/>
          <a:ext cx="1733550" cy="263842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9</xdr:col>
      <xdr:colOff>1485900</xdr:colOff>
      <xdr:row>11</xdr:row>
      <xdr:rowOff>66675</xdr:rowOff>
    </xdr:from>
    <xdr:to>
      <xdr:col>11</xdr:col>
      <xdr:colOff>342900</xdr:colOff>
      <xdr:row>23</xdr:row>
      <xdr:rowOff>95250</xdr:rowOff>
    </xdr:to>
    <xdr:sp macro="" textlink="">
      <xdr:nvSpPr>
        <xdr:cNvPr id="3" name="Rectangle 2"/>
        <xdr:cNvSpPr/>
      </xdr:nvSpPr>
      <xdr:spPr>
        <a:xfrm>
          <a:off x="16021050" y="2162175"/>
          <a:ext cx="1362075" cy="233362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b="0"/>
        </a:p>
      </xdr:txBody>
    </xdr:sp>
    <xdr:clientData/>
  </xdr:twoCellAnchor>
  <xdr:twoCellAnchor>
    <xdr:from>
      <xdr:col>9</xdr:col>
      <xdr:colOff>1495425</xdr:colOff>
      <xdr:row>22</xdr:row>
      <xdr:rowOff>57150</xdr:rowOff>
    </xdr:from>
    <xdr:to>
      <xdr:col>9</xdr:col>
      <xdr:colOff>1704975</xdr:colOff>
      <xdr:row>23</xdr:row>
      <xdr:rowOff>76200</xdr:rowOff>
    </xdr:to>
    <xdr:sp macro="" textlink="">
      <xdr:nvSpPr>
        <xdr:cNvPr id="4" name="Oval 3"/>
        <xdr:cNvSpPr/>
      </xdr:nvSpPr>
      <xdr:spPr>
        <a:xfrm>
          <a:off x="16030575" y="4267200"/>
          <a:ext cx="209550" cy="209550"/>
        </a:xfrm>
        <a:prstGeom prst="ellipse">
          <a:avLst/>
        </a:prstGeom>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10</xdr:col>
      <xdr:colOff>142875</xdr:colOff>
      <xdr:row>22</xdr:row>
      <xdr:rowOff>47625</xdr:rowOff>
    </xdr:from>
    <xdr:to>
      <xdr:col>10</xdr:col>
      <xdr:colOff>352425</xdr:colOff>
      <xdr:row>23</xdr:row>
      <xdr:rowOff>66675</xdr:rowOff>
    </xdr:to>
    <xdr:sp macro="" textlink="">
      <xdr:nvSpPr>
        <xdr:cNvPr id="5" name="Oval 4"/>
        <xdr:cNvSpPr/>
      </xdr:nvSpPr>
      <xdr:spPr>
        <a:xfrm>
          <a:off x="16573500" y="4257675"/>
          <a:ext cx="209550" cy="209550"/>
        </a:xfrm>
        <a:prstGeom prst="ellipse">
          <a:avLst/>
        </a:prstGeom>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11</xdr:col>
      <xdr:colOff>104775</xdr:colOff>
      <xdr:row>22</xdr:row>
      <xdr:rowOff>47625</xdr:rowOff>
    </xdr:from>
    <xdr:to>
      <xdr:col>11</xdr:col>
      <xdr:colOff>314325</xdr:colOff>
      <xdr:row>23</xdr:row>
      <xdr:rowOff>66675</xdr:rowOff>
    </xdr:to>
    <xdr:sp macro="" textlink="">
      <xdr:nvSpPr>
        <xdr:cNvPr id="6" name="Oval 5"/>
        <xdr:cNvSpPr/>
      </xdr:nvSpPr>
      <xdr:spPr>
        <a:xfrm>
          <a:off x="17145000" y="4257675"/>
          <a:ext cx="209550" cy="209550"/>
        </a:xfrm>
        <a:prstGeom prst="ellipse">
          <a:avLst/>
        </a:prstGeom>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11</xdr:col>
      <xdr:colOff>219075</xdr:colOff>
      <xdr:row>11</xdr:row>
      <xdr:rowOff>95250</xdr:rowOff>
    </xdr:from>
    <xdr:to>
      <xdr:col>11</xdr:col>
      <xdr:colOff>285750</xdr:colOff>
      <xdr:row>11</xdr:row>
      <xdr:rowOff>171450</xdr:rowOff>
    </xdr:to>
    <xdr:sp macro="" textlink="">
      <xdr:nvSpPr>
        <xdr:cNvPr id="7" name="Oval 6"/>
        <xdr:cNvSpPr/>
      </xdr:nvSpPr>
      <xdr:spPr>
        <a:xfrm>
          <a:off x="17259300" y="2190750"/>
          <a:ext cx="66675" cy="7620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9</xdr:col>
      <xdr:colOff>1581150</xdr:colOff>
      <xdr:row>11</xdr:row>
      <xdr:rowOff>104775</xdr:rowOff>
    </xdr:from>
    <xdr:to>
      <xdr:col>9</xdr:col>
      <xdr:colOff>1647825</xdr:colOff>
      <xdr:row>11</xdr:row>
      <xdr:rowOff>180975</xdr:rowOff>
    </xdr:to>
    <xdr:sp macro="" textlink="">
      <xdr:nvSpPr>
        <xdr:cNvPr id="8" name="Oval 7"/>
        <xdr:cNvSpPr/>
      </xdr:nvSpPr>
      <xdr:spPr>
        <a:xfrm>
          <a:off x="16116300" y="2200275"/>
          <a:ext cx="66675" cy="7620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9</xdr:col>
      <xdr:colOff>1600200</xdr:colOff>
      <xdr:row>23</xdr:row>
      <xdr:rowOff>76200</xdr:rowOff>
    </xdr:from>
    <xdr:to>
      <xdr:col>10</xdr:col>
      <xdr:colOff>257175</xdr:colOff>
      <xdr:row>29</xdr:row>
      <xdr:rowOff>57150</xdr:rowOff>
    </xdr:to>
    <xdr:cxnSp macro="">
      <xdr:nvCxnSpPr>
        <xdr:cNvPr id="10" name="Straight Arrow Connector 9"/>
        <xdr:cNvCxnSpPr>
          <a:stCxn id="4" idx="4"/>
        </xdr:cNvCxnSpPr>
      </xdr:nvCxnSpPr>
      <xdr:spPr>
        <a:xfrm rot="16200000" flipH="1">
          <a:off x="15849600" y="4762500"/>
          <a:ext cx="1123950" cy="5524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276226</xdr:colOff>
      <xdr:row>23</xdr:row>
      <xdr:rowOff>35986</xdr:rowOff>
    </xdr:from>
    <xdr:to>
      <xdr:col>10</xdr:col>
      <xdr:colOff>321738</xdr:colOff>
      <xdr:row>29</xdr:row>
      <xdr:rowOff>19049</xdr:rowOff>
    </xdr:to>
    <xdr:cxnSp macro="">
      <xdr:nvCxnSpPr>
        <xdr:cNvPr id="12" name="Straight Arrow Connector 11"/>
        <xdr:cNvCxnSpPr>
          <a:stCxn id="5" idx="5"/>
        </xdr:cNvCxnSpPr>
      </xdr:nvCxnSpPr>
      <xdr:spPr>
        <a:xfrm rot="5400000">
          <a:off x="16166575" y="4976812"/>
          <a:ext cx="1126063" cy="45512"/>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285750</xdr:colOff>
      <xdr:row>22</xdr:row>
      <xdr:rowOff>152400</xdr:rowOff>
    </xdr:from>
    <xdr:to>
      <xdr:col>11</xdr:col>
      <xdr:colOff>314325</xdr:colOff>
      <xdr:row>29</xdr:row>
      <xdr:rowOff>28575</xdr:rowOff>
    </xdr:to>
    <xdr:cxnSp macro="">
      <xdr:nvCxnSpPr>
        <xdr:cNvPr id="14" name="Straight Arrow Connector 13"/>
        <xdr:cNvCxnSpPr>
          <a:stCxn id="6" idx="6"/>
        </xdr:cNvCxnSpPr>
      </xdr:nvCxnSpPr>
      <xdr:spPr>
        <a:xfrm flipH="1">
          <a:off x="16716375" y="4362450"/>
          <a:ext cx="638175" cy="120967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76200</xdr:colOff>
      <xdr:row>10</xdr:row>
      <xdr:rowOff>57151</xdr:rowOff>
    </xdr:from>
    <xdr:to>
      <xdr:col>12</xdr:col>
      <xdr:colOff>104775</xdr:colOff>
      <xdr:row>24</xdr:row>
      <xdr:rowOff>38101</xdr:rowOff>
    </xdr:to>
    <xdr:cxnSp macro="">
      <xdr:nvCxnSpPr>
        <xdr:cNvPr id="13" name="Straight Arrow Connector 12"/>
        <xdr:cNvCxnSpPr/>
      </xdr:nvCxnSpPr>
      <xdr:spPr>
        <a:xfrm rot="16200000" flipH="1">
          <a:off x="16540163" y="3281363"/>
          <a:ext cx="2667000" cy="28575"/>
        </a:xfrm>
        <a:prstGeom prst="straightConnector1">
          <a:avLst/>
        </a:prstGeom>
        <a:ln>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1304928</xdr:colOff>
      <xdr:row>9</xdr:row>
      <xdr:rowOff>133350</xdr:rowOff>
    </xdr:from>
    <xdr:to>
      <xdr:col>11</xdr:col>
      <xdr:colOff>581026</xdr:colOff>
      <xdr:row>9</xdr:row>
      <xdr:rowOff>142880</xdr:rowOff>
    </xdr:to>
    <xdr:cxnSp macro="">
      <xdr:nvCxnSpPr>
        <xdr:cNvPr id="15" name="Straight Arrow Connector 14"/>
        <xdr:cNvCxnSpPr/>
      </xdr:nvCxnSpPr>
      <xdr:spPr>
        <a:xfrm rot="10800000" flipV="1">
          <a:off x="15840078" y="1847850"/>
          <a:ext cx="1914523" cy="9530"/>
        </a:xfrm>
        <a:prstGeom prst="straightConnector1">
          <a:avLst/>
        </a:prstGeom>
        <a:ln>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1304925</xdr:colOff>
      <xdr:row>10</xdr:row>
      <xdr:rowOff>76200</xdr:rowOff>
    </xdr:from>
    <xdr:to>
      <xdr:col>11</xdr:col>
      <xdr:colOff>533400</xdr:colOff>
      <xdr:row>24</xdr:row>
      <xdr:rowOff>28575</xdr:rowOff>
    </xdr:to>
    <xdr:sp macro="" textlink="">
      <xdr:nvSpPr>
        <xdr:cNvPr id="2" name="Rectangle 1"/>
        <xdr:cNvSpPr/>
      </xdr:nvSpPr>
      <xdr:spPr>
        <a:xfrm>
          <a:off x="15840075" y="1981200"/>
          <a:ext cx="1733550" cy="263842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9</xdr:col>
      <xdr:colOff>1485900</xdr:colOff>
      <xdr:row>11</xdr:row>
      <xdr:rowOff>66675</xdr:rowOff>
    </xdr:from>
    <xdr:to>
      <xdr:col>11</xdr:col>
      <xdr:colOff>342900</xdr:colOff>
      <xdr:row>23</xdr:row>
      <xdr:rowOff>95250</xdr:rowOff>
    </xdr:to>
    <xdr:sp macro="" textlink="">
      <xdr:nvSpPr>
        <xdr:cNvPr id="3" name="Rectangle 2"/>
        <xdr:cNvSpPr/>
      </xdr:nvSpPr>
      <xdr:spPr>
        <a:xfrm>
          <a:off x="16021050" y="2162175"/>
          <a:ext cx="1362075" cy="233362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b="0"/>
        </a:p>
      </xdr:txBody>
    </xdr:sp>
    <xdr:clientData/>
  </xdr:twoCellAnchor>
  <xdr:twoCellAnchor>
    <xdr:from>
      <xdr:col>9</xdr:col>
      <xdr:colOff>1476375</xdr:colOff>
      <xdr:row>22</xdr:row>
      <xdr:rowOff>47625</xdr:rowOff>
    </xdr:from>
    <xdr:to>
      <xdr:col>9</xdr:col>
      <xdr:colOff>1685925</xdr:colOff>
      <xdr:row>23</xdr:row>
      <xdr:rowOff>66675</xdr:rowOff>
    </xdr:to>
    <xdr:sp macro="" textlink="">
      <xdr:nvSpPr>
        <xdr:cNvPr id="4" name="Oval 3"/>
        <xdr:cNvSpPr/>
      </xdr:nvSpPr>
      <xdr:spPr>
        <a:xfrm>
          <a:off x="16011525" y="4257675"/>
          <a:ext cx="209550" cy="209550"/>
        </a:xfrm>
        <a:prstGeom prst="ellipse">
          <a:avLst/>
        </a:prstGeom>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10</xdr:col>
      <xdr:colOff>142875</xdr:colOff>
      <xdr:row>22</xdr:row>
      <xdr:rowOff>47625</xdr:rowOff>
    </xdr:from>
    <xdr:to>
      <xdr:col>10</xdr:col>
      <xdr:colOff>352425</xdr:colOff>
      <xdr:row>23</xdr:row>
      <xdr:rowOff>66675</xdr:rowOff>
    </xdr:to>
    <xdr:sp macro="" textlink="">
      <xdr:nvSpPr>
        <xdr:cNvPr id="5" name="Oval 4"/>
        <xdr:cNvSpPr/>
      </xdr:nvSpPr>
      <xdr:spPr>
        <a:xfrm>
          <a:off x="16573500" y="4257675"/>
          <a:ext cx="209550" cy="209550"/>
        </a:xfrm>
        <a:prstGeom prst="ellipse">
          <a:avLst/>
        </a:prstGeom>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11</xdr:col>
      <xdr:colOff>104775</xdr:colOff>
      <xdr:row>22</xdr:row>
      <xdr:rowOff>47625</xdr:rowOff>
    </xdr:from>
    <xdr:to>
      <xdr:col>11</xdr:col>
      <xdr:colOff>314325</xdr:colOff>
      <xdr:row>23</xdr:row>
      <xdr:rowOff>66675</xdr:rowOff>
    </xdr:to>
    <xdr:sp macro="" textlink="">
      <xdr:nvSpPr>
        <xdr:cNvPr id="6" name="Oval 5"/>
        <xdr:cNvSpPr/>
      </xdr:nvSpPr>
      <xdr:spPr>
        <a:xfrm>
          <a:off x="17145000" y="4257675"/>
          <a:ext cx="209550" cy="209550"/>
        </a:xfrm>
        <a:prstGeom prst="ellipse">
          <a:avLst/>
        </a:prstGeom>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10</xdr:col>
      <xdr:colOff>133350</xdr:colOff>
      <xdr:row>11</xdr:row>
      <xdr:rowOff>85726</xdr:rowOff>
    </xdr:from>
    <xdr:to>
      <xdr:col>10</xdr:col>
      <xdr:colOff>285750</xdr:colOff>
      <xdr:row>12</xdr:row>
      <xdr:rowOff>28576</xdr:rowOff>
    </xdr:to>
    <xdr:sp macro="" textlink="">
      <xdr:nvSpPr>
        <xdr:cNvPr id="9" name="Oval 8"/>
        <xdr:cNvSpPr/>
      </xdr:nvSpPr>
      <xdr:spPr>
        <a:xfrm>
          <a:off x="16563975" y="2181226"/>
          <a:ext cx="152400" cy="133350"/>
        </a:xfrm>
        <a:prstGeom prst="ellipse">
          <a:avLst/>
        </a:prstGeom>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11</xdr:col>
      <xdr:colOff>283637</xdr:colOff>
      <xdr:row>22</xdr:row>
      <xdr:rowOff>78312</xdr:rowOff>
    </xdr:from>
    <xdr:to>
      <xdr:col>12</xdr:col>
      <xdr:colOff>371475</xdr:colOff>
      <xdr:row>26</xdr:row>
      <xdr:rowOff>152399</xdr:rowOff>
    </xdr:to>
    <xdr:cxnSp macro="">
      <xdr:nvCxnSpPr>
        <xdr:cNvPr id="19" name="Straight Arrow Connector 18"/>
        <xdr:cNvCxnSpPr>
          <a:stCxn id="6" idx="7"/>
        </xdr:cNvCxnSpPr>
      </xdr:nvCxnSpPr>
      <xdr:spPr>
        <a:xfrm rot="16200000" flipH="1">
          <a:off x="17254537" y="4357687"/>
          <a:ext cx="836087" cy="69743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1655236</xdr:colOff>
      <xdr:row>23</xdr:row>
      <xdr:rowOff>59263</xdr:rowOff>
    </xdr:from>
    <xdr:to>
      <xdr:col>12</xdr:col>
      <xdr:colOff>304800</xdr:colOff>
      <xdr:row>26</xdr:row>
      <xdr:rowOff>161925</xdr:rowOff>
    </xdr:to>
    <xdr:cxnSp macro="">
      <xdr:nvCxnSpPr>
        <xdr:cNvPr id="20" name="Straight Arrow Connector 19"/>
        <xdr:cNvCxnSpPr/>
      </xdr:nvCxnSpPr>
      <xdr:spPr>
        <a:xfrm>
          <a:off x="16190386" y="4459813"/>
          <a:ext cx="1764239" cy="674162"/>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333375</xdr:colOff>
      <xdr:row>22</xdr:row>
      <xdr:rowOff>180975</xdr:rowOff>
    </xdr:from>
    <xdr:to>
      <xdr:col>12</xdr:col>
      <xdr:colOff>361950</xdr:colOff>
      <xdr:row>26</xdr:row>
      <xdr:rowOff>152400</xdr:rowOff>
    </xdr:to>
    <xdr:cxnSp macro="">
      <xdr:nvCxnSpPr>
        <xdr:cNvPr id="22" name="Straight Arrow Connector 21"/>
        <xdr:cNvCxnSpPr/>
      </xdr:nvCxnSpPr>
      <xdr:spPr>
        <a:xfrm>
          <a:off x="16764000" y="4391025"/>
          <a:ext cx="1247775" cy="73342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209550</xdr:colOff>
      <xdr:row>8</xdr:row>
      <xdr:rowOff>161925</xdr:rowOff>
    </xdr:from>
    <xdr:to>
      <xdr:col>12</xdr:col>
      <xdr:colOff>19050</xdr:colOff>
      <xdr:row>12</xdr:row>
      <xdr:rowOff>28576</xdr:rowOff>
    </xdr:to>
    <xdr:cxnSp macro="">
      <xdr:nvCxnSpPr>
        <xdr:cNvPr id="26" name="Straight Arrow Connector 25"/>
        <xdr:cNvCxnSpPr>
          <a:stCxn id="9" idx="4"/>
        </xdr:cNvCxnSpPr>
      </xdr:nvCxnSpPr>
      <xdr:spPr>
        <a:xfrm rot="5400000" flipH="1" flipV="1">
          <a:off x="16840199" y="1485901"/>
          <a:ext cx="628651" cy="102870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66676</xdr:colOff>
      <xdr:row>10</xdr:row>
      <xdr:rowOff>57150</xdr:rowOff>
    </xdr:from>
    <xdr:to>
      <xdr:col>12</xdr:col>
      <xdr:colOff>95251</xdr:colOff>
      <xdr:row>24</xdr:row>
      <xdr:rowOff>47625</xdr:rowOff>
    </xdr:to>
    <xdr:cxnSp macro="">
      <xdr:nvCxnSpPr>
        <xdr:cNvPr id="13" name="Straight Arrow Connector 12"/>
        <xdr:cNvCxnSpPr/>
      </xdr:nvCxnSpPr>
      <xdr:spPr>
        <a:xfrm rot="16200000" flipH="1">
          <a:off x="16397289" y="3281362"/>
          <a:ext cx="2667000" cy="28575"/>
        </a:xfrm>
        <a:prstGeom prst="straightConnector1">
          <a:avLst/>
        </a:prstGeom>
        <a:ln>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1285875</xdr:colOff>
      <xdr:row>9</xdr:row>
      <xdr:rowOff>85725</xdr:rowOff>
    </xdr:from>
    <xdr:to>
      <xdr:col>11</xdr:col>
      <xdr:colOff>514350</xdr:colOff>
      <xdr:row>9</xdr:row>
      <xdr:rowOff>87313</xdr:rowOff>
    </xdr:to>
    <xdr:cxnSp macro="">
      <xdr:nvCxnSpPr>
        <xdr:cNvPr id="15" name="Straight Arrow Connector 14"/>
        <xdr:cNvCxnSpPr/>
      </xdr:nvCxnSpPr>
      <xdr:spPr>
        <a:xfrm>
          <a:off x="15821025" y="1800225"/>
          <a:ext cx="1733550" cy="1588"/>
        </a:xfrm>
        <a:prstGeom prst="straightConnector1">
          <a:avLst/>
        </a:prstGeom>
        <a:ln>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2:N39"/>
  <sheetViews>
    <sheetView showGridLines="0" workbookViewId="0">
      <selection activeCell="E30" sqref="E29:E30"/>
    </sheetView>
  </sheetViews>
  <sheetFormatPr defaultRowHeight="15"/>
  <cols>
    <col min="1" max="1" width="30.85546875" style="2" bestFit="1" customWidth="1"/>
    <col min="2" max="2" width="41.42578125" style="2" bestFit="1" customWidth="1"/>
    <col min="3" max="3" width="9.140625" style="2"/>
    <col min="4" max="4" width="25.5703125" style="2" bestFit="1" customWidth="1"/>
    <col min="5" max="5" width="34.85546875" style="2" bestFit="1" customWidth="1"/>
    <col min="6" max="6" width="10.28515625" style="2" bestFit="1" customWidth="1"/>
    <col min="7" max="7" width="25.5703125" style="2" bestFit="1" customWidth="1"/>
    <col min="8" max="8" width="30" style="2" bestFit="1" customWidth="1"/>
    <col min="9" max="9" width="10.28515625" style="2" bestFit="1" customWidth="1"/>
    <col min="10" max="10" width="30.42578125" style="2" bestFit="1" customWidth="1"/>
    <col min="11" max="16384" width="9.140625" style="2"/>
  </cols>
  <sheetData>
    <row r="2" spans="1:12">
      <c r="A2" s="27" t="s">
        <v>21</v>
      </c>
      <c r="B2" s="27"/>
      <c r="C2" s="27"/>
      <c r="D2" s="27"/>
      <c r="E2" s="27"/>
      <c r="F2" s="27"/>
      <c r="G2" s="27"/>
      <c r="H2" s="27"/>
      <c r="I2" s="27"/>
      <c r="J2" s="27"/>
      <c r="K2" s="27"/>
    </row>
    <row r="4" spans="1:12">
      <c r="A4" s="3" t="s">
        <v>0</v>
      </c>
      <c r="B4" s="4"/>
      <c r="C4" s="4"/>
      <c r="G4" s="3" t="s">
        <v>49</v>
      </c>
      <c r="H4" s="4"/>
      <c r="I4" s="4"/>
      <c r="J4" s="3" t="s">
        <v>71</v>
      </c>
    </row>
    <row r="5" spans="1:12">
      <c r="A5" s="4" t="s">
        <v>1</v>
      </c>
      <c r="B5" s="4">
        <v>8</v>
      </c>
      <c r="C5" s="4" t="s">
        <v>6</v>
      </c>
      <c r="G5" s="4" t="s">
        <v>50</v>
      </c>
      <c r="H5" s="5">
        <f>B35*1000/(B25*1000*B17)</f>
        <v>0.61958955223880585</v>
      </c>
      <c r="I5" s="4" t="s">
        <v>51</v>
      </c>
      <c r="J5" s="6" t="str">
        <f>IF(B17&gt;750, "Its Not Okay provide Side reinforcement on both sides The total area of such reinforcement shall be not less than 0.1 percent of the web area and shall be spacing not exceeding 300 mm", " No need of Side Reinforcement ")</f>
        <v xml:space="preserve"> No need of Side Reinforcement </v>
      </c>
    </row>
    <row r="6" spans="1:12">
      <c r="A6" s="4" t="s">
        <v>2</v>
      </c>
      <c r="B6" s="4">
        <v>200</v>
      </c>
      <c r="C6" s="4" t="s">
        <v>7</v>
      </c>
      <c r="D6" s="29" t="s">
        <v>89</v>
      </c>
      <c r="E6" s="30"/>
      <c r="F6" s="31"/>
      <c r="G6" s="4" t="s">
        <v>52</v>
      </c>
      <c r="H6" s="5">
        <f>100*E15/(B25*1000*B17)</f>
        <v>0.68345771144278611</v>
      </c>
      <c r="I6" s="4" t="s">
        <v>53</v>
      </c>
    </row>
    <row r="7" spans="1:12">
      <c r="A7" s="4" t="s">
        <v>3</v>
      </c>
      <c r="B7" s="4">
        <v>30</v>
      </c>
      <c r="C7" s="4" t="s">
        <v>8</v>
      </c>
      <c r="D7" s="4" t="s">
        <v>40</v>
      </c>
      <c r="E7" s="5">
        <f>B34*10^6/(B25*1000*B17^2)</f>
        <v>1.8957590777456002</v>
      </c>
      <c r="F7" s="4" t="s">
        <v>41</v>
      </c>
      <c r="G7" s="4" t="s">
        <v>54</v>
      </c>
      <c r="H7" s="4">
        <v>0.54</v>
      </c>
      <c r="I7" s="4"/>
    </row>
    <row r="8" spans="1:12">
      <c r="A8" s="4" t="s">
        <v>4</v>
      </c>
      <c r="B8" s="4">
        <v>20</v>
      </c>
      <c r="C8" s="4" t="s">
        <v>9</v>
      </c>
      <c r="D8" s="4" t="s">
        <v>39</v>
      </c>
      <c r="E8" s="5">
        <f>(B8/(2*B9))*(B25*1000*B17)*(1-SQRT(1-((4.598*E7)/B8)))</f>
        <v>1928.7539839849367</v>
      </c>
      <c r="F8" s="4" t="s">
        <v>42</v>
      </c>
      <c r="G8" s="4" t="s">
        <v>38</v>
      </c>
      <c r="H8" s="6" t="str">
        <f>IF(H7&gt;H5,"SAFE ","GO FOR SHEAR REINFORCEMENT")</f>
        <v>GO FOR SHEAR REINFORCEMENT</v>
      </c>
      <c r="I8" s="4"/>
    </row>
    <row r="9" spans="1:12">
      <c r="A9" s="4" t="s">
        <v>5</v>
      </c>
      <c r="B9" s="4">
        <v>415</v>
      </c>
      <c r="C9" s="4" t="s">
        <v>9</v>
      </c>
    </row>
    <row r="10" spans="1:12">
      <c r="A10" s="4" t="s">
        <v>13</v>
      </c>
      <c r="B10" s="4">
        <v>20</v>
      </c>
      <c r="C10" s="4" t="s">
        <v>7</v>
      </c>
      <c r="G10" s="3" t="s">
        <v>55</v>
      </c>
      <c r="H10" s="4"/>
      <c r="I10" s="4"/>
      <c r="K10" s="2">
        <f>B25*1000</f>
        <v>480</v>
      </c>
      <c r="L10" s="2" t="s">
        <v>7</v>
      </c>
    </row>
    <row r="11" spans="1:12">
      <c r="A11" s="4" t="s">
        <v>14</v>
      </c>
      <c r="B11" s="4">
        <v>25</v>
      </c>
      <c r="C11" s="4" t="s">
        <v>7</v>
      </c>
      <c r="D11" s="4" t="s">
        <v>45</v>
      </c>
      <c r="E11" s="4">
        <f>3.14*0.25*B10^2</f>
        <v>314</v>
      </c>
      <c r="F11" s="4" t="s">
        <v>42</v>
      </c>
      <c r="G11" s="4" t="s">
        <v>61</v>
      </c>
      <c r="H11" s="4">
        <v>250</v>
      </c>
      <c r="I11" s="4" t="s">
        <v>65</v>
      </c>
    </row>
    <row r="12" spans="1:12">
      <c r="A12" s="4" t="s">
        <v>15</v>
      </c>
      <c r="B12" s="4">
        <v>8</v>
      </c>
      <c r="C12" s="4" t="s">
        <v>7</v>
      </c>
      <c r="D12" s="4" t="s">
        <v>47</v>
      </c>
      <c r="E12" s="7">
        <f>E8/E11</f>
        <v>6.1425286114169957</v>
      </c>
      <c r="F12" s="4"/>
      <c r="G12" s="4" t="s">
        <v>56</v>
      </c>
      <c r="H12" s="4">
        <f>3.14*B12^2</f>
        <v>200.96</v>
      </c>
      <c r="I12" s="4" t="s">
        <v>64</v>
      </c>
    </row>
    <row r="13" spans="1:12">
      <c r="A13" s="4" t="s">
        <v>24</v>
      </c>
      <c r="B13" s="4">
        <v>25</v>
      </c>
      <c r="C13" s="4" t="s">
        <v>25</v>
      </c>
      <c r="D13" s="4" t="s">
        <v>46</v>
      </c>
      <c r="E13" s="8">
        <f>ROUNDUP(E12,0)</f>
        <v>7</v>
      </c>
      <c r="F13" s="4"/>
      <c r="G13" s="4" t="s">
        <v>57</v>
      </c>
      <c r="H13" s="4">
        <f>0.87*H12*2*H11/(0.4*B25*1000)</f>
        <v>455.3</v>
      </c>
      <c r="I13" s="4" t="s">
        <v>7</v>
      </c>
    </row>
    <row r="14" spans="1:12">
      <c r="G14" s="4" t="s">
        <v>58</v>
      </c>
      <c r="H14" s="4">
        <f>0.75*B17</f>
        <v>502.5</v>
      </c>
      <c r="I14" s="4" t="s">
        <v>7</v>
      </c>
    </row>
    <row r="15" spans="1:12">
      <c r="A15" s="3" t="s">
        <v>10</v>
      </c>
      <c r="B15" s="4"/>
      <c r="C15" s="4"/>
      <c r="D15" s="4" t="s">
        <v>48</v>
      </c>
      <c r="E15" s="4">
        <f>E13*E11</f>
        <v>2198</v>
      </c>
      <c r="F15" s="4" t="s">
        <v>42</v>
      </c>
      <c r="G15" s="4"/>
      <c r="H15" s="6" t="str">
        <f>IF(H7&lt;H5,"go for Shear Reinforcement","Safe &amp; ignore Shear REinforcement")</f>
        <v>go for Shear Reinforcement</v>
      </c>
      <c r="I15" s="4"/>
    </row>
    <row r="16" spans="1:12">
      <c r="A16" s="4" t="s">
        <v>12</v>
      </c>
      <c r="B16" s="4">
        <v>12</v>
      </c>
      <c r="C16" s="4"/>
      <c r="G16" s="4" t="s">
        <v>62</v>
      </c>
      <c r="H16" s="9">
        <f>MIN(H14,H13)</f>
        <v>455.3</v>
      </c>
      <c r="I16" s="4" t="s">
        <v>7</v>
      </c>
    </row>
    <row r="17" spans="1:14" ht="15.75" customHeight="1">
      <c r="A17" s="4" t="s">
        <v>11</v>
      </c>
      <c r="B17" s="4">
        <f>ROUNDUP(B5*1000/B16,-1)</f>
        <v>670</v>
      </c>
      <c r="C17" s="4" t="s">
        <v>7</v>
      </c>
      <c r="D17" s="4" t="s">
        <v>66</v>
      </c>
      <c r="E17" s="4"/>
      <c r="F17" s="4"/>
      <c r="M17" s="2">
        <f>B20</f>
        <v>720</v>
      </c>
      <c r="N17" s="2" t="s">
        <v>7</v>
      </c>
    </row>
    <row r="18" spans="1:14">
      <c r="A18" s="4" t="s">
        <v>16</v>
      </c>
      <c r="B18" s="4">
        <f>B11+B12+(B10/2)</f>
        <v>43</v>
      </c>
      <c r="C18" s="4" t="s">
        <v>7</v>
      </c>
      <c r="D18" s="4" t="s">
        <v>68</v>
      </c>
      <c r="E18" s="4">
        <v>250</v>
      </c>
      <c r="F18" s="4" t="s">
        <v>51</v>
      </c>
      <c r="G18" s="10" t="s">
        <v>59</v>
      </c>
      <c r="H18" s="4"/>
      <c r="I18" s="4"/>
    </row>
    <row r="19" spans="1:14">
      <c r="A19" s="4" t="s">
        <v>17</v>
      </c>
      <c r="B19" s="4">
        <f>ROUNDUP(B18,-1)</f>
        <v>50</v>
      </c>
      <c r="C19" s="4" t="s">
        <v>7</v>
      </c>
      <c r="D19" s="4" t="s">
        <v>67</v>
      </c>
      <c r="E19" s="5">
        <f>0.87*E18*E15/(0.36*B8*B25*1000)</f>
        <v>138.32899305555557</v>
      </c>
      <c r="F19" s="4" t="s">
        <v>7</v>
      </c>
      <c r="G19" s="11" t="s">
        <v>60</v>
      </c>
      <c r="H19" s="4">
        <f>(B35*1000-H7*B17*1000*B25)/1000</f>
        <v>25.595999999999972</v>
      </c>
      <c r="I19" s="4" t="s">
        <v>37</v>
      </c>
    </row>
    <row r="20" spans="1:14">
      <c r="A20" s="4" t="s">
        <v>18</v>
      </c>
      <c r="B20" s="4">
        <f>B17+B19</f>
        <v>720</v>
      </c>
      <c r="C20" s="4" t="s">
        <v>7</v>
      </c>
      <c r="D20" s="4" t="s">
        <v>69</v>
      </c>
      <c r="E20" s="4">
        <f>0.48*B17</f>
        <v>321.59999999999997</v>
      </c>
      <c r="F20" s="4" t="s">
        <v>7</v>
      </c>
      <c r="G20" s="11" t="s">
        <v>57</v>
      </c>
      <c r="H20" s="4">
        <f>(0.87*H11*2*H12*B17)/(H19*1000)</f>
        <v>2288.2400375058633</v>
      </c>
      <c r="I20" s="4" t="s">
        <v>7</v>
      </c>
    </row>
    <row r="21" spans="1:14">
      <c r="A21" s="4" t="s">
        <v>19</v>
      </c>
      <c r="B21" s="9">
        <f>MIN(B5+B17/1000,B5+B6/1000)</f>
        <v>8.1999999999999993</v>
      </c>
      <c r="C21" s="4" t="s">
        <v>20</v>
      </c>
      <c r="D21" s="12"/>
      <c r="E21" s="13" t="str">
        <f>IF(E20&gt;E19,"OK &amp; The Section is Under Reinforced","not ok &amp; the Section is Over reinforced" )</f>
        <v>OK &amp; The Section is Under Reinforced</v>
      </c>
      <c r="F21" s="12"/>
      <c r="G21" s="11" t="s">
        <v>58</v>
      </c>
      <c r="H21" s="4">
        <f>H14</f>
        <v>502.5</v>
      </c>
      <c r="I21" s="4"/>
    </row>
    <row r="22" spans="1:14">
      <c r="D22" s="18"/>
      <c r="E22" s="18"/>
      <c r="F22" s="20"/>
      <c r="G22" s="11"/>
      <c r="H22" s="4"/>
      <c r="I22" s="4"/>
    </row>
    <row r="23" spans="1:14">
      <c r="A23" s="3" t="s">
        <v>22</v>
      </c>
      <c r="B23" s="4"/>
      <c r="C23" s="4"/>
      <c r="D23" s="18"/>
      <c r="E23" s="15"/>
      <c r="F23" s="20"/>
      <c r="G23" s="16" t="s">
        <v>63</v>
      </c>
      <c r="H23" s="17">
        <f>MIN(H21,H20)</f>
        <v>502.5</v>
      </c>
      <c r="I23" s="17" t="s">
        <v>7</v>
      </c>
    </row>
    <row r="24" spans="1:14">
      <c r="A24" s="4"/>
      <c r="B24" s="4"/>
      <c r="C24" s="4"/>
      <c r="D24" s="18"/>
      <c r="E24" s="18"/>
      <c r="F24" s="20"/>
    </row>
    <row r="25" spans="1:14">
      <c r="A25" s="4" t="s">
        <v>26</v>
      </c>
      <c r="B25" s="19">
        <f>(B20/1.5)/1000</f>
        <v>0.48</v>
      </c>
      <c r="C25" s="4" t="s">
        <v>6</v>
      </c>
      <c r="D25" s="18"/>
      <c r="E25" s="18"/>
      <c r="F25" s="20"/>
      <c r="G25" s="10" t="s">
        <v>43</v>
      </c>
      <c r="H25" s="4"/>
      <c r="I25" s="4"/>
    </row>
    <row r="26" spans="1:14">
      <c r="A26" s="4" t="s">
        <v>23</v>
      </c>
      <c r="B26" s="19">
        <f>B25*(B6/1000)*B13</f>
        <v>2.4</v>
      </c>
      <c r="C26" s="4" t="s">
        <v>8</v>
      </c>
      <c r="D26" s="18"/>
      <c r="E26" s="18"/>
      <c r="F26" s="20"/>
      <c r="G26" s="11" t="s">
        <v>44</v>
      </c>
      <c r="H26" s="4">
        <f>0.85*B25*1000*B17/B9</f>
        <v>658.69879518072287</v>
      </c>
      <c r="I26" s="4" t="s">
        <v>42</v>
      </c>
    </row>
    <row r="27" spans="1:14">
      <c r="A27" s="4" t="s">
        <v>27</v>
      </c>
      <c r="B27" s="4">
        <f>B7</f>
        <v>30</v>
      </c>
      <c r="C27" s="4" t="s">
        <v>8</v>
      </c>
      <c r="D27" s="18"/>
      <c r="E27" s="15"/>
      <c r="F27" s="20"/>
      <c r="G27" s="11" t="s">
        <v>38</v>
      </c>
      <c r="H27" s="6" t="str">
        <f>IF(E15&gt;H26,"SAFE","UNSAFE")</f>
        <v>SAFE</v>
      </c>
      <c r="I27" s="4"/>
    </row>
    <row r="28" spans="1:14">
      <c r="A28" s="4" t="s">
        <v>28</v>
      </c>
      <c r="B28" s="19">
        <f>B26+B27</f>
        <v>32.4</v>
      </c>
      <c r="C28" s="4" t="s">
        <v>8</v>
      </c>
      <c r="D28" s="18"/>
      <c r="E28" s="18"/>
      <c r="F28" s="18"/>
    </row>
    <row r="29" spans="1:14">
      <c r="A29" s="4" t="s">
        <v>30</v>
      </c>
      <c r="B29" s="4">
        <v>1.5</v>
      </c>
      <c r="C29" s="4"/>
      <c r="D29" s="18"/>
      <c r="E29" s="18"/>
      <c r="F29" s="18"/>
    </row>
    <row r="30" spans="1:14">
      <c r="A30" s="4" t="s">
        <v>29</v>
      </c>
      <c r="B30" s="4">
        <f>B29*B28</f>
        <v>48.599999999999994</v>
      </c>
      <c r="C30" s="4" t="s">
        <v>8</v>
      </c>
      <c r="D30" s="18"/>
      <c r="E30" s="20"/>
      <c r="F30" s="20"/>
      <c r="G30" s="10" t="s">
        <v>70</v>
      </c>
      <c r="H30" s="22"/>
      <c r="I30" s="22"/>
      <c r="K30" s="28" t="str">
        <f>CONCATENATE("provide ",E13," - ",B10,"mm dia bar")</f>
        <v>provide 7 - 20mm dia bar</v>
      </c>
      <c r="L30" s="28"/>
      <c r="M30" s="28"/>
    </row>
    <row r="31" spans="1:14">
      <c r="D31" s="20"/>
      <c r="E31" s="18"/>
      <c r="F31" s="18"/>
      <c r="G31" s="11" t="s">
        <v>87</v>
      </c>
      <c r="H31" s="4">
        <f>(B25*1000*B17^3) /12</f>
        <v>12030520000</v>
      </c>
      <c r="I31" s="22"/>
    </row>
    <row r="32" spans="1:14">
      <c r="D32" s="18"/>
      <c r="E32" s="18"/>
      <c r="F32" s="18"/>
      <c r="G32" s="24" t="s">
        <v>88</v>
      </c>
      <c r="H32" s="4">
        <f>5000*SQRT(B8)</f>
        <v>22360.679774997898</v>
      </c>
      <c r="I32" s="22"/>
    </row>
    <row r="33" spans="1:9">
      <c r="A33" s="3" t="s">
        <v>31</v>
      </c>
      <c r="B33" s="4"/>
      <c r="C33" s="14"/>
      <c r="D33" s="20"/>
      <c r="E33" s="18"/>
      <c r="F33" s="18"/>
      <c r="G33" s="24" t="s">
        <v>86</v>
      </c>
      <c r="H33" s="4">
        <f>(5*B30*(B21*1000) ^4) /(384*H32*H31)</f>
        <v>10.635577024467571</v>
      </c>
      <c r="I33" s="22" t="s">
        <v>7</v>
      </c>
    </row>
    <row r="34" spans="1:9">
      <c r="A34" s="4" t="s">
        <v>32</v>
      </c>
      <c r="B34" s="4">
        <f>0.125*B30*B21^2</f>
        <v>408.48299999999995</v>
      </c>
      <c r="C34" s="4" t="s">
        <v>36</v>
      </c>
      <c r="G34" s="4" t="s">
        <v>75</v>
      </c>
      <c r="H34" s="23" t="str">
        <f>IF(B21*1000/240&gt;H33, "SAFE FOR DEFLECTION ", " NOT OKAY ")</f>
        <v xml:space="preserve">SAFE FOR DEFLECTION </v>
      </c>
      <c r="I34" s="22"/>
    </row>
    <row r="35" spans="1:9">
      <c r="A35" s="4" t="s">
        <v>33</v>
      </c>
      <c r="B35" s="4">
        <f>0.5*B30*B21</f>
        <v>199.25999999999996</v>
      </c>
      <c r="C35" s="4" t="s">
        <v>37</v>
      </c>
      <c r="H35" s="21"/>
      <c r="I35" s="20"/>
    </row>
    <row r="36" spans="1:9">
      <c r="A36" s="4"/>
      <c r="B36" s="4"/>
      <c r="C36" s="4"/>
      <c r="G36" s="20"/>
      <c r="H36" s="21"/>
      <c r="I36" s="20"/>
    </row>
    <row r="37" spans="1:9">
      <c r="A37" s="3" t="s">
        <v>34</v>
      </c>
      <c r="B37" s="4"/>
      <c r="C37" s="4"/>
      <c r="G37" s="20"/>
      <c r="H37" s="21"/>
      <c r="I37" s="20"/>
    </row>
    <row r="38" spans="1:9">
      <c r="A38" s="4" t="s">
        <v>35</v>
      </c>
      <c r="B38" s="4">
        <f>(0.138*B8*B25*1000*B17^2)/10^6</f>
        <v>594.70272</v>
      </c>
      <c r="C38" s="4" t="s">
        <v>36</v>
      </c>
      <c r="G38" s="20"/>
      <c r="H38" s="20"/>
      <c r="I38" s="20"/>
    </row>
    <row r="39" spans="1:9">
      <c r="A39" s="4" t="s">
        <v>38</v>
      </c>
      <c r="B39" s="6" t="str">
        <f>IF(B38&gt;B34,"THE SECTION IS SINGLY REINFORCED SECTION","THE SECTION IS DOUBLEY REINFORCED SECTION")</f>
        <v>THE SECTION IS SINGLY REINFORCED SECTION</v>
      </c>
      <c r="C39" s="4"/>
    </row>
  </sheetData>
  <mergeCells count="3">
    <mergeCell ref="A2:K2"/>
    <mergeCell ref="K30:M30"/>
    <mergeCell ref="D6:F6"/>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dimension ref="A2:M39"/>
  <sheetViews>
    <sheetView showGridLines="0" tabSelected="1" workbookViewId="0">
      <selection activeCell="H6" sqref="H6"/>
    </sheetView>
  </sheetViews>
  <sheetFormatPr defaultRowHeight="15"/>
  <cols>
    <col min="1" max="1" width="40.140625" style="2" bestFit="1" customWidth="1"/>
    <col min="2" max="2" width="29.85546875" style="2" customWidth="1"/>
    <col min="3" max="3" width="9.140625" style="2"/>
    <col min="4" max="4" width="25.5703125" style="2" bestFit="1" customWidth="1"/>
    <col min="5" max="5" width="34.85546875" style="2" bestFit="1" customWidth="1"/>
    <col min="6" max="6" width="10.28515625" style="2" bestFit="1" customWidth="1"/>
    <col min="7" max="7" width="30.42578125" style="2" bestFit="1" customWidth="1"/>
    <col min="8" max="8" width="30" style="2" bestFit="1" customWidth="1"/>
    <col min="9" max="9" width="10.28515625" style="2" bestFit="1" customWidth="1"/>
    <col min="10" max="10" width="28.42578125" style="2" bestFit="1" customWidth="1"/>
    <col min="11" max="12" width="9.140625" style="2"/>
    <col min="13" max="13" width="23.140625" style="2" bestFit="1" customWidth="1"/>
    <col min="14" max="16384" width="9.140625" style="2"/>
  </cols>
  <sheetData>
    <row r="2" spans="1:13">
      <c r="A2" s="27" t="s">
        <v>21</v>
      </c>
      <c r="B2" s="27"/>
      <c r="C2" s="27"/>
      <c r="D2" s="27"/>
      <c r="E2" s="27"/>
      <c r="F2" s="27"/>
      <c r="G2" s="27"/>
      <c r="H2" s="27"/>
      <c r="I2" s="27"/>
      <c r="J2" s="27"/>
      <c r="K2" s="27"/>
    </row>
    <row r="4" spans="1:13">
      <c r="A4" s="3" t="s">
        <v>0</v>
      </c>
      <c r="B4" s="4"/>
      <c r="C4" s="4"/>
      <c r="G4" s="3" t="s">
        <v>49</v>
      </c>
      <c r="H4" s="4"/>
      <c r="I4" s="4"/>
      <c r="J4" s="34" t="s">
        <v>71</v>
      </c>
      <c r="K4" s="35"/>
    </row>
    <row r="5" spans="1:13">
      <c r="A5" s="4" t="s">
        <v>1</v>
      </c>
      <c r="B5" s="4">
        <v>4.8</v>
      </c>
      <c r="C5" s="4" t="s">
        <v>6</v>
      </c>
      <c r="G5" s="4" t="s">
        <v>50</v>
      </c>
      <c r="H5" s="5">
        <f>B35*1000/(B25*1000*B17)</f>
        <v>0.85154665314401634</v>
      </c>
      <c r="I5" s="4" t="s">
        <v>51</v>
      </c>
      <c r="J5" s="32" t="str">
        <f>IF(B17&gt;750, "Its Not Okay provide Side reinforcement on both sides The total area of such reinforcement shall be not less than 0.1 percent of the web area and shall be spacing not exceeding 300 mm", " No need of Side Reinforcement ")</f>
        <v xml:space="preserve"> No need of Side Reinforcement </v>
      </c>
      <c r="K5" s="33"/>
    </row>
    <row r="6" spans="1:13">
      <c r="A6" s="4" t="s">
        <v>2</v>
      </c>
      <c r="B6" s="4">
        <v>200</v>
      </c>
      <c r="C6" s="4" t="s">
        <v>7</v>
      </c>
      <c r="D6" s="29" t="s">
        <v>89</v>
      </c>
      <c r="E6" s="30"/>
      <c r="F6" s="31"/>
      <c r="G6" s="4" t="s">
        <v>52</v>
      </c>
      <c r="H6" s="5">
        <f>100*E30/(B25*1000*B17)</f>
        <v>1.4330628803245438</v>
      </c>
      <c r="I6" s="4" t="s">
        <v>53</v>
      </c>
    </row>
    <row r="7" spans="1:13">
      <c r="A7" s="4" t="s">
        <v>3</v>
      </c>
      <c r="B7" s="4">
        <v>13</v>
      </c>
      <c r="C7" s="4" t="s">
        <v>8</v>
      </c>
      <c r="D7" s="4" t="s">
        <v>40</v>
      </c>
      <c r="E7" s="5">
        <f>B34*10^6/(B25*1000*B17^2)</f>
        <v>3.6704597118276565</v>
      </c>
      <c r="F7" s="4" t="s">
        <v>41</v>
      </c>
      <c r="G7" s="4" t="s">
        <v>54</v>
      </c>
      <c r="H7" s="4">
        <v>0.72</v>
      </c>
      <c r="I7" s="4"/>
    </row>
    <row r="8" spans="1:13">
      <c r="A8" s="4" t="s">
        <v>4</v>
      </c>
      <c r="B8" s="4">
        <v>25</v>
      </c>
      <c r="C8" s="4" t="s">
        <v>9</v>
      </c>
      <c r="D8" s="4" t="s">
        <v>39</v>
      </c>
      <c r="E8" s="5">
        <f>(B8/(2*B9))*(B25*1000*B17)*(1-SQRT(1-((4.598*E7)/B8)))</f>
        <v>851.31501010494424</v>
      </c>
      <c r="F8" s="4" t="s">
        <v>42</v>
      </c>
      <c r="G8" s="4" t="s">
        <v>38</v>
      </c>
      <c r="H8" s="6" t="str">
        <f>IF(H7&gt;H5,"SAFE ","GO FOR SHEAR REINFORCEMENT")</f>
        <v>GO FOR SHEAR REINFORCEMENT</v>
      </c>
      <c r="I8" s="4"/>
    </row>
    <row r="9" spans="1:13">
      <c r="A9" s="4" t="s">
        <v>5</v>
      </c>
      <c r="B9" s="4">
        <v>415</v>
      </c>
      <c r="C9" s="4" t="s">
        <v>9</v>
      </c>
      <c r="K9" s="2">
        <f>(B25*1000)</f>
        <v>226.66666666666666</v>
      </c>
      <c r="L9" s="2" t="s">
        <v>7</v>
      </c>
      <c r="M9" s="1" t="str">
        <f>CONCATENATE("provide ",E32," - ",E31,"mm dia bar")</f>
        <v>provide 1 - 12mm dia bar</v>
      </c>
    </row>
    <row r="10" spans="1:13">
      <c r="A10" s="4" t="s">
        <v>13</v>
      </c>
      <c r="B10" s="4">
        <v>20</v>
      </c>
      <c r="C10" s="4" t="s">
        <v>7</v>
      </c>
      <c r="G10" s="3" t="s">
        <v>55</v>
      </c>
      <c r="H10" s="4"/>
      <c r="I10" s="4"/>
    </row>
    <row r="11" spans="1:13">
      <c r="A11" s="4" t="s">
        <v>14</v>
      </c>
      <c r="B11" s="4">
        <v>25</v>
      </c>
      <c r="C11" s="4" t="s">
        <v>7</v>
      </c>
      <c r="D11" s="4" t="s">
        <v>45</v>
      </c>
      <c r="E11" s="4">
        <f>3.14*0.25*B10^2</f>
        <v>314</v>
      </c>
      <c r="F11" s="4" t="s">
        <v>42</v>
      </c>
      <c r="G11" s="4" t="s">
        <v>61</v>
      </c>
      <c r="H11" s="4">
        <v>250</v>
      </c>
      <c r="I11" s="4" t="s">
        <v>51</v>
      </c>
    </row>
    <row r="12" spans="1:13">
      <c r="A12" s="4" t="s">
        <v>15</v>
      </c>
      <c r="B12" s="4">
        <v>8</v>
      </c>
      <c r="C12" s="4" t="s">
        <v>7</v>
      </c>
      <c r="D12" s="4"/>
      <c r="E12" s="7"/>
      <c r="F12" s="4"/>
      <c r="G12" s="4" t="s">
        <v>56</v>
      </c>
      <c r="H12" s="4">
        <f>3.14*B12^2</f>
        <v>200.96</v>
      </c>
      <c r="I12" s="4" t="s">
        <v>64</v>
      </c>
    </row>
    <row r="13" spans="1:13">
      <c r="A13" s="4" t="s">
        <v>24</v>
      </c>
      <c r="B13" s="4">
        <v>25</v>
      </c>
      <c r="C13" s="4" t="s">
        <v>25</v>
      </c>
      <c r="D13" s="4"/>
      <c r="E13" s="8"/>
      <c r="F13" s="4"/>
      <c r="G13" s="4" t="s">
        <v>57</v>
      </c>
      <c r="H13" s="4">
        <f>0.87*H12*2*H11/(0.4*B25*1000)</f>
        <v>964.16470588235291</v>
      </c>
      <c r="I13" s="4" t="s">
        <v>7</v>
      </c>
    </row>
    <row r="14" spans="1:13">
      <c r="G14" s="4" t="s">
        <v>58</v>
      </c>
      <c r="H14" s="4">
        <f>0.75*B17</f>
        <v>217.5</v>
      </c>
      <c r="I14" s="4" t="s">
        <v>7</v>
      </c>
    </row>
    <row r="15" spans="1:13">
      <c r="A15" s="3" t="s">
        <v>10</v>
      </c>
      <c r="B15" s="4"/>
      <c r="C15" s="4"/>
      <c r="D15" s="4"/>
      <c r="E15" s="4"/>
      <c r="F15" s="4"/>
      <c r="G15" s="4"/>
      <c r="H15" s="6" t="str">
        <f>IF(H7&lt;H5,"go for Shear Reinforcement","Safe &amp; ignore Shear REinforcement")</f>
        <v>go for Shear Reinforcement</v>
      </c>
      <c r="I15" s="4"/>
    </row>
    <row r="16" spans="1:13">
      <c r="A16" s="4" t="s">
        <v>12</v>
      </c>
      <c r="B16" s="4">
        <v>17</v>
      </c>
      <c r="C16" s="4"/>
      <c r="G16" s="4" t="s">
        <v>62</v>
      </c>
      <c r="H16" s="9">
        <f>MIN(H14,H13)</f>
        <v>217.5</v>
      </c>
      <c r="I16" s="4" t="s">
        <v>7</v>
      </c>
    </row>
    <row r="17" spans="1:13" ht="15.75" customHeight="1">
      <c r="A17" s="4" t="s">
        <v>11</v>
      </c>
      <c r="B17" s="4">
        <f>ROUNDUP(B5*1000/B16,-1)</f>
        <v>290</v>
      </c>
      <c r="C17" s="4" t="s">
        <v>7</v>
      </c>
      <c r="D17" s="4" t="s">
        <v>66</v>
      </c>
      <c r="E17" s="4"/>
      <c r="F17" s="4"/>
      <c r="J17" s="25"/>
      <c r="L17" s="2">
        <f>B20</f>
        <v>340</v>
      </c>
      <c r="M17" s="2" t="s">
        <v>7</v>
      </c>
    </row>
    <row r="18" spans="1:13">
      <c r="A18" s="4" t="s">
        <v>16</v>
      </c>
      <c r="B18" s="4">
        <f>B11+B12+(B10/2)</f>
        <v>43</v>
      </c>
      <c r="C18" s="4" t="s">
        <v>7</v>
      </c>
      <c r="D18" s="4" t="s">
        <v>68</v>
      </c>
      <c r="E18" s="4">
        <v>250</v>
      </c>
      <c r="F18" s="4" t="s">
        <v>51</v>
      </c>
      <c r="G18" s="10" t="s">
        <v>59</v>
      </c>
      <c r="H18" s="4"/>
      <c r="I18" s="4"/>
    </row>
    <row r="19" spans="1:13">
      <c r="A19" s="4" t="s">
        <v>17</v>
      </c>
      <c r="B19" s="4">
        <f>ROUNDUP(B18,-1)</f>
        <v>50</v>
      </c>
      <c r="C19" s="4" t="s">
        <v>7</v>
      </c>
      <c r="D19" s="4" t="s">
        <v>67</v>
      </c>
      <c r="E19" s="5">
        <f>0.87*E18*E30/(0.36*B8*B25*1000)</f>
        <v>100.43382352941177</v>
      </c>
      <c r="F19" s="4" t="s">
        <v>7</v>
      </c>
      <c r="G19" s="11" t="s">
        <v>60</v>
      </c>
      <c r="H19" s="4">
        <f>(B35*1000-H7*B17*1000*B25)/1000</f>
        <v>8.6470000000000073</v>
      </c>
      <c r="I19" s="4" t="s">
        <v>37</v>
      </c>
    </row>
    <row r="20" spans="1:13">
      <c r="A20" s="4" t="s">
        <v>18</v>
      </c>
      <c r="B20" s="4">
        <f>B17+B19</f>
        <v>340</v>
      </c>
      <c r="C20" s="4" t="s">
        <v>7</v>
      </c>
      <c r="D20" s="4" t="s">
        <v>69</v>
      </c>
      <c r="E20" s="4">
        <f>0.48*B17</f>
        <v>139.19999999999999</v>
      </c>
      <c r="F20" s="4" t="s">
        <v>7</v>
      </c>
      <c r="G20" s="11" t="s">
        <v>57</v>
      </c>
      <c r="H20" s="4">
        <f>(0.87*H11*2*H12*B17)/(H19*1000)</f>
        <v>2931.7802706140833</v>
      </c>
      <c r="I20" s="4" t="s">
        <v>7</v>
      </c>
    </row>
    <row r="21" spans="1:13">
      <c r="A21" s="4" t="s">
        <v>19</v>
      </c>
      <c r="B21" s="9">
        <f>MIN(B5+B17/1000,B5+B6/1000)</f>
        <v>5</v>
      </c>
      <c r="C21" s="4" t="s">
        <v>20</v>
      </c>
      <c r="D21" s="12"/>
      <c r="E21" s="13" t="str">
        <f>IF(E20&gt;E19,"OK &amp; The Section is Under Reinforced","not ok &amp; the Section is Over reinforced" )</f>
        <v>OK &amp; The Section is Under Reinforced</v>
      </c>
      <c r="F21" s="12"/>
      <c r="G21" s="11" t="s">
        <v>58</v>
      </c>
      <c r="H21" s="4">
        <f>H14</f>
        <v>217.5</v>
      </c>
      <c r="I21" s="4"/>
    </row>
    <row r="22" spans="1:13">
      <c r="D22" s="4" t="s">
        <v>76</v>
      </c>
      <c r="E22" s="4">
        <f>200*1000</f>
        <v>200000</v>
      </c>
      <c r="F22" s="22" t="s">
        <v>51</v>
      </c>
      <c r="G22" s="11"/>
      <c r="H22" s="4"/>
      <c r="I22" s="4"/>
    </row>
    <row r="23" spans="1:13">
      <c r="A23" s="3" t="s">
        <v>22</v>
      </c>
      <c r="B23" s="4"/>
      <c r="C23" s="14"/>
      <c r="D23" s="4" t="s">
        <v>72</v>
      </c>
      <c r="E23" s="5">
        <f>E8</f>
        <v>851.31501010494424</v>
      </c>
      <c r="F23" s="22" t="s">
        <v>82</v>
      </c>
      <c r="G23" s="16" t="s">
        <v>63</v>
      </c>
      <c r="H23" s="17">
        <f>MIN(H21,H20)</f>
        <v>217.5</v>
      </c>
      <c r="I23" s="17" t="s">
        <v>7</v>
      </c>
    </row>
    <row r="24" spans="1:13">
      <c r="A24" s="4"/>
      <c r="B24" s="4"/>
      <c r="C24" s="14"/>
      <c r="D24" s="4" t="s">
        <v>73</v>
      </c>
      <c r="E24" s="4">
        <f>0.0035*((E20-B19)/E20)*E22</f>
        <v>448.56321839080459</v>
      </c>
      <c r="F24" s="22" t="s">
        <v>51</v>
      </c>
    </row>
    <row r="25" spans="1:13">
      <c r="A25" s="4" t="s">
        <v>26</v>
      </c>
      <c r="B25" s="19">
        <f>(B20/1.5)/1000</f>
        <v>0.22666666666666666</v>
      </c>
      <c r="C25" s="14" t="s">
        <v>6</v>
      </c>
      <c r="D25" s="4" t="s">
        <v>74</v>
      </c>
      <c r="E25" s="4">
        <f>(B34-B38)*10^6/(E24*(B17-B19))</f>
        <v>39.037139654067921</v>
      </c>
      <c r="F25" s="22" t="s">
        <v>64</v>
      </c>
      <c r="G25" s="10" t="s">
        <v>43</v>
      </c>
      <c r="H25" s="4"/>
      <c r="I25" s="4"/>
    </row>
    <row r="26" spans="1:13">
      <c r="A26" s="4" t="s">
        <v>23</v>
      </c>
      <c r="B26" s="19">
        <f>B13*B20/1000*B25</f>
        <v>1.9266666666666665</v>
      </c>
      <c r="C26" s="14" t="s">
        <v>8</v>
      </c>
      <c r="D26" s="4" t="s">
        <v>77</v>
      </c>
      <c r="E26" s="4">
        <f>E25*E24/(0.87*E18)</f>
        <v>80.508620689655203</v>
      </c>
      <c r="F26" s="22" t="s">
        <v>64</v>
      </c>
      <c r="G26" s="11" t="s">
        <v>44</v>
      </c>
      <c r="H26" s="4">
        <f>0.85*B25*1000*B17/B9</f>
        <v>134.63453815261042</v>
      </c>
      <c r="I26" s="4" t="s">
        <v>42</v>
      </c>
    </row>
    <row r="27" spans="1:13">
      <c r="A27" s="4" t="s">
        <v>27</v>
      </c>
      <c r="B27" s="4">
        <f>B7</f>
        <v>13</v>
      </c>
      <c r="C27" s="14" t="s">
        <v>8</v>
      </c>
      <c r="D27" s="4" t="s">
        <v>78</v>
      </c>
      <c r="E27" s="5">
        <f>E26+E23</f>
        <v>931.82363079459947</v>
      </c>
      <c r="F27" s="22" t="s">
        <v>64</v>
      </c>
      <c r="G27" s="11" t="s">
        <v>38</v>
      </c>
      <c r="H27" s="6" t="str">
        <f>IF(E30&gt;H26,"SAFE","UNSAFE")</f>
        <v>SAFE</v>
      </c>
      <c r="I27" s="4"/>
    </row>
    <row r="28" spans="1:13">
      <c r="A28" s="4" t="s">
        <v>28</v>
      </c>
      <c r="B28" s="19">
        <f>B26+B27</f>
        <v>14.926666666666666</v>
      </c>
      <c r="C28" s="14" t="s">
        <v>8</v>
      </c>
      <c r="D28" s="4" t="s">
        <v>79</v>
      </c>
      <c r="E28" s="4">
        <f>E27/(3.14*0.25*B10*B10)</f>
        <v>2.9675911808745208</v>
      </c>
      <c r="F28" s="4"/>
      <c r="M28" s="1" t="str">
        <f>CONCATENATE("provide ",E29," - ",B10,"mm dia bar")</f>
        <v>provide 3 - 20mm dia bar</v>
      </c>
    </row>
    <row r="29" spans="1:13">
      <c r="A29" s="4" t="s">
        <v>30</v>
      </c>
      <c r="B29" s="4">
        <v>1.5</v>
      </c>
      <c r="C29" s="14"/>
      <c r="D29" s="4" t="s">
        <v>80</v>
      </c>
      <c r="E29" s="4">
        <f>ROUNDUP(E28, -0.5)</f>
        <v>3</v>
      </c>
      <c r="F29" s="4"/>
    </row>
    <row r="30" spans="1:13">
      <c r="A30" s="4" t="s">
        <v>29</v>
      </c>
      <c r="B30" s="4">
        <f>B29*B28</f>
        <v>22.39</v>
      </c>
      <c r="C30" s="14" t="s">
        <v>8</v>
      </c>
      <c r="D30" s="4" t="s">
        <v>81</v>
      </c>
      <c r="E30" s="26">
        <f>E29*3.14*0.25*B10*B10</f>
        <v>942</v>
      </c>
      <c r="F30" s="22" t="s">
        <v>64</v>
      </c>
      <c r="G30" s="10" t="s">
        <v>70</v>
      </c>
      <c r="H30" s="22"/>
      <c r="I30" s="22"/>
    </row>
    <row r="31" spans="1:13">
      <c r="D31" s="22" t="s">
        <v>85</v>
      </c>
      <c r="E31" s="4">
        <f>12</f>
        <v>12</v>
      </c>
      <c r="F31" s="22" t="s">
        <v>7</v>
      </c>
      <c r="G31" s="11" t="s">
        <v>87</v>
      </c>
      <c r="H31" s="4">
        <f>(B25*1000*B17^3) /12</f>
        <v>460681111.1111111</v>
      </c>
      <c r="I31" s="22"/>
    </row>
    <row r="32" spans="1:13">
      <c r="D32" s="4" t="s">
        <v>84</v>
      </c>
      <c r="E32" s="4">
        <f>ROUNDUP(E25/(3.14*0.25*E31*E31),0.5)</f>
        <v>1</v>
      </c>
      <c r="F32" s="4"/>
      <c r="G32" s="24" t="s">
        <v>88</v>
      </c>
      <c r="H32" s="4">
        <f>5000*SQRT(B8)</f>
        <v>25000</v>
      </c>
      <c r="I32" s="22"/>
    </row>
    <row r="33" spans="1:9">
      <c r="A33" s="3" t="s">
        <v>31</v>
      </c>
      <c r="B33" s="4"/>
      <c r="C33" s="14"/>
      <c r="D33" s="22" t="s">
        <v>83</v>
      </c>
      <c r="E33" s="4">
        <f>E32*3.14*0.25*E31^2</f>
        <v>113.04</v>
      </c>
      <c r="F33" s="4" t="s">
        <v>64</v>
      </c>
      <c r="G33" s="24" t="s">
        <v>86</v>
      </c>
      <c r="H33" s="4">
        <f>(5*B30*(B21*1000) ^4) /(384*H32*H31)</f>
        <v>15.820947033739898</v>
      </c>
      <c r="I33" s="22" t="s">
        <v>7</v>
      </c>
    </row>
    <row r="34" spans="1:9">
      <c r="A34" s="4" t="s">
        <v>32</v>
      </c>
      <c r="B34" s="4">
        <f>0.125*B30*B21^2</f>
        <v>69.96875</v>
      </c>
      <c r="C34" s="4" t="s">
        <v>36</v>
      </c>
      <c r="G34" s="4" t="s">
        <v>75</v>
      </c>
      <c r="H34" s="23" t="str">
        <f>IF(B21*1000/240&gt;H33, "SAFE FOR DEFLECTION ", " NOT OKAY ")</f>
        <v xml:space="preserve">SAFE FOR DEFLECTION </v>
      </c>
      <c r="I34" s="22"/>
    </row>
    <row r="35" spans="1:9">
      <c r="A35" s="4" t="s">
        <v>33</v>
      </c>
      <c r="B35" s="4">
        <f>0.5*B30*B21</f>
        <v>55.975000000000001</v>
      </c>
      <c r="C35" s="4" t="s">
        <v>37</v>
      </c>
      <c r="H35" s="21"/>
      <c r="I35" s="20"/>
    </row>
    <row r="36" spans="1:9">
      <c r="A36" s="4"/>
      <c r="B36" s="4"/>
      <c r="C36" s="4"/>
      <c r="G36" s="20"/>
      <c r="H36" s="21"/>
      <c r="I36" s="20"/>
    </row>
    <row r="37" spans="1:9">
      <c r="A37" s="3" t="s">
        <v>34</v>
      </c>
      <c r="B37" s="4"/>
      <c r="C37" s="4"/>
      <c r="G37" s="20"/>
      <c r="H37" s="21"/>
      <c r="I37" s="20"/>
    </row>
    <row r="38" spans="1:9">
      <c r="A38" s="4" t="s">
        <v>35</v>
      </c>
      <c r="B38" s="4">
        <f>(0.138*B8*B25*1000*B17^2)/10^6</f>
        <v>65.766199999999998</v>
      </c>
      <c r="C38" s="4" t="s">
        <v>36</v>
      </c>
      <c r="G38" s="20"/>
      <c r="H38" s="20"/>
      <c r="I38" s="20"/>
    </row>
    <row r="39" spans="1:9">
      <c r="A39" s="4" t="s">
        <v>38</v>
      </c>
      <c r="B39" s="32" t="str">
        <f>IF(B38&gt;B34,"THE SECTION IS SINGLY REINFORCED SECTION","THE SECTION IS DOUBLEY REINFORCED SECTION")</f>
        <v>THE SECTION IS DOUBLEY REINFORCED SECTION</v>
      </c>
      <c r="C39" s="33"/>
      <c r="D39" s="33"/>
    </row>
  </sheetData>
  <mergeCells count="5">
    <mergeCell ref="A2:K2"/>
    <mergeCell ref="D6:F6"/>
    <mergeCell ref="B39:D39"/>
    <mergeCell ref="J4:K4"/>
    <mergeCell ref="J5:K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2</vt:i4>
      </vt:variant>
    </vt:vector>
  </HeadingPairs>
  <TitlesOfParts>
    <vt:vector size="2" baseType="lpstr">
      <vt:lpstr>Sheet1</vt:lpstr>
      <vt:lpstr>Sheet1 (2)</vt:lpstr>
    </vt:vector>
  </TitlesOfParts>
  <Company>HP Inc.</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CAD LAB</dc:creator>
  <cp:lastModifiedBy>CAD LAB</cp:lastModifiedBy>
  <dcterms:created xsi:type="dcterms:W3CDTF">2025-07-31T11:03:27Z</dcterms:created>
  <dcterms:modified xsi:type="dcterms:W3CDTF">2025-09-04T09:02:51Z</dcterms:modified>
</cp:coreProperties>
</file>