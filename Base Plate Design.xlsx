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12" i="1"/>
  <c r="J18"/>
  <c r="J17"/>
  <c r="J29"/>
  <c r="J28"/>
  <c r="J27"/>
  <c r="J26"/>
  <c r="J25"/>
  <c r="J24"/>
  <c r="J20"/>
  <c r="J19"/>
  <c r="J16"/>
  <c r="J15"/>
  <c r="J14"/>
  <c r="J13"/>
  <c r="J11"/>
  <c r="J8"/>
  <c r="F25"/>
  <c r="F24"/>
  <c r="F22"/>
  <c r="F19"/>
  <c r="F18"/>
  <c r="F16"/>
  <c r="F15"/>
  <c r="F13"/>
  <c r="F12"/>
  <c r="F11"/>
  <c r="F7"/>
  <c r="B36"/>
  <c r="B32"/>
  <c r="B29"/>
  <c r="B28"/>
  <c r="B30" s="1"/>
  <c r="B27"/>
  <c r="B26"/>
  <c r="B25"/>
  <c r="B21"/>
  <c r="B20"/>
  <c r="B19"/>
  <c r="B18"/>
  <c r="B17"/>
  <c r="B16"/>
</calcChain>
</file>

<file path=xl/sharedStrings.xml><?xml version="1.0" encoding="utf-8"?>
<sst xmlns="http://schemas.openxmlformats.org/spreadsheetml/2006/main" count="135" uniqueCount="85">
  <si>
    <t>DESIGN OF BASE PLATE</t>
  </si>
  <si>
    <t>INPUT DATA</t>
  </si>
  <si>
    <t>Load (P)</t>
  </si>
  <si>
    <t>KN</t>
  </si>
  <si>
    <t>Fx</t>
  </si>
  <si>
    <t>Fz</t>
  </si>
  <si>
    <t>Mx</t>
  </si>
  <si>
    <t>KNm</t>
  </si>
  <si>
    <t>My</t>
  </si>
  <si>
    <t>Grade of concrete</t>
  </si>
  <si>
    <t>Mpa</t>
  </si>
  <si>
    <t>Base Plate Steel Grade Fy</t>
  </si>
  <si>
    <t>fub-Bolt</t>
  </si>
  <si>
    <t>fu-Plate</t>
  </si>
  <si>
    <t>Assumed Base Plate Size</t>
  </si>
  <si>
    <t>L</t>
  </si>
  <si>
    <t>B</t>
  </si>
  <si>
    <t>mm</t>
  </si>
  <si>
    <t xml:space="preserve">Dia of bolt </t>
  </si>
  <si>
    <t>Dia of Hole of Bolt</t>
  </si>
  <si>
    <t>Req C/C Distance B/w Bolts (pitch)</t>
  </si>
  <si>
    <t>Pro C/C Distance B/w Bolts (pitch)</t>
  </si>
  <si>
    <t>Edge Distance e Req</t>
  </si>
  <si>
    <t>Edge Distance e Pro</t>
  </si>
  <si>
    <t>Base Plate Sizing &amp; Bearing Pressure Check</t>
  </si>
  <si>
    <t xml:space="preserve">Base Plate Pressure </t>
  </si>
  <si>
    <t>Ixx</t>
  </si>
  <si>
    <t>Iyy</t>
  </si>
  <si>
    <t>mm^4</t>
  </si>
  <si>
    <t xml:space="preserve">Bearing Pressure </t>
  </si>
  <si>
    <t>Pmax</t>
  </si>
  <si>
    <t>Pmin</t>
  </si>
  <si>
    <t>Bearing Check</t>
  </si>
  <si>
    <t>Check For Uplift</t>
  </si>
  <si>
    <t>Base Plate Thickness Determination</t>
  </si>
  <si>
    <t>Projections Of the plate A</t>
  </si>
  <si>
    <t>Projections Of the plate B</t>
  </si>
  <si>
    <t>thickness Of Plate Req</t>
  </si>
  <si>
    <t>Thickness Of Plate Pro (ts)</t>
  </si>
  <si>
    <t>Saftey factor (for Yielding)</t>
  </si>
  <si>
    <t>Foundation Bolt Design</t>
  </si>
  <si>
    <t>Bolt Data</t>
  </si>
  <si>
    <t>No of Bolts</t>
  </si>
  <si>
    <t>Dia of bolt d</t>
  </si>
  <si>
    <t>Dia of Hole of Bolt (do).</t>
  </si>
  <si>
    <t>Net Area</t>
  </si>
  <si>
    <t>Sqmm</t>
  </si>
  <si>
    <t>Partial Saftey Factor</t>
  </si>
  <si>
    <t xml:space="preserve">From Input Data </t>
  </si>
  <si>
    <t>Uplift Pressure Per Bolt (Tmax)</t>
  </si>
  <si>
    <t>V total</t>
  </si>
  <si>
    <t>V Bolt</t>
  </si>
  <si>
    <t>Tensile Capacity (Tdb)</t>
  </si>
  <si>
    <t>Check</t>
  </si>
  <si>
    <t>Shear Capacity (Tdsb)</t>
  </si>
  <si>
    <t>Combined Tension &amp; Shear Check</t>
  </si>
  <si>
    <t>CHECK</t>
  </si>
  <si>
    <t>Embedement Length Ld</t>
  </si>
  <si>
    <t>Provided</t>
  </si>
  <si>
    <t>Fillet Weld Design</t>
  </si>
  <si>
    <t>Weld Input</t>
  </si>
  <si>
    <t>PSF(for field/shop weld)</t>
  </si>
  <si>
    <t xml:space="preserve">Provided Weld Size </t>
  </si>
  <si>
    <t>Length X dir Weld</t>
  </si>
  <si>
    <t>Length Z dir Weld</t>
  </si>
  <si>
    <t xml:space="preserve">Total Weld Length </t>
  </si>
  <si>
    <t>Weld Strength Calc</t>
  </si>
  <si>
    <t>Weld Strength per mm</t>
  </si>
  <si>
    <t>k for standard fillet</t>
  </si>
  <si>
    <t>N/mm</t>
  </si>
  <si>
    <t>Effective Throat Thickness (t)</t>
  </si>
  <si>
    <t>Direct Shear From Fx &amp; Fz</t>
  </si>
  <si>
    <t>Uniform Shear stress On weld (tr)</t>
  </si>
  <si>
    <t xml:space="preserve">fmx </t>
  </si>
  <si>
    <t>fmz</t>
  </si>
  <si>
    <t>Combined Stress (Resultant)</t>
  </si>
  <si>
    <t>Polar Moment of Inertia (J)</t>
  </si>
  <si>
    <t>Cu.mm</t>
  </si>
  <si>
    <t>r</t>
  </si>
  <si>
    <t xml:space="preserve">Check </t>
  </si>
  <si>
    <t>Summary</t>
  </si>
  <si>
    <t xml:space="preserve">Load </t>
  </si>
  <si>
    <t>Thickness of Plate</t>
  </si>
  <si>
    <t>Length Of Plate</t>
  </si>
  <si>
    <t>Width of Plate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</si>
</sst>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47</xdr:row>
      <xdr:rowOff>123825</xdr:rowOff>
    </xdr:from>
    <xdr:to>
      <xdr:col>3</xdr:col>
      <xdr:colOff>333375</xdr:colOff>
      <xdr:row>51</xdr:row>
      <xdr:rowOff>57150</xdr:rowOff>
    </xdr:to>
    <xdr:sp macro="" textlink="">
      <xdr:nvSpPr>
        <xdr:cNvPr id="2" name="Rectangle 1"/>
        <xdr:cNvSpPr/>
      </xdr:nvSpPr>
      <xdr:spPr>
        <a:xfrm>
          <a:off x="3000375" y="9096375"/>
          <a:ext cx="885825" cy="695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showGridLines="0" tabSelected="1" workbookViewId="0">
      <selection activeCell="J12" sqref="J12"/>
    </sheetView>
  </sheetViews>
  <sheetFormatPr defaultRowHeight="15"/>
  <cols>
    <col min="1" max="1" width="36.140625" style="1" bestFit="1" customWidth="1"/>
    <col min="2" max="2" width="12" style="1" bestFit="1" customWidth="1"/>
    <col min="3" max="4" width="9.140625" style="1"/>
    <col min="5" max="5" width="31.5703125" style="1" bestFit="1" customWidth="1"/>
    <col min="6" max="6" width="12.42578125" style="1" bestFit="1" customWidth="1"/>
    <col min="7" max="8" width="9.140625" style="1"/>
    <col min="9" max="9" width="30.5703125" style="1" bestFit="1" customWidth="1"/>
    <col min="10" max="16384" width="9.140625" style="1"/>
  </cols>
  <sheetData>
    <row r="1" spans="1:2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33" t="s">
        <v>1</v>
      </c>
      <c r="B2" s="34"/>
      <c r="C2" s="34"/>
      <c r="E2" s="29" t="s">
        <v>40</v>
      </c>
      <c r="F2" s="29"/>
      <c r="G2" s="29"/>
      <c r="I2" s="29" t="s">
        <v>59</v>
      </c>
      <c r="J2" s="29"/>
      <c r="K2" s="29"/>
      <c r="L2" s="20"/>
    </row>
    <row r="3" spans="1:22">
      <c r="A3" s="21" t="s">
        <v>2</v>
      </c>
      <c r="B3" s="2">
        <v>1376</v>
      </c>
      <c r="C3" s="2" t="s">
        <v>3</v>
      </c>
      <c r="E3" s="29" t="s">
        <v>41</v>
      </c>
      <c r="F3" s="29"/>
      <c r="G3" s="29"/>
      <c r="I3" s="29" t="s">
        <v>60</v>
      </c>
      <c r="J3" s="29"/>
      <c r="K3" s="29"/>
      <c r="L3" s="20"/>
    </row>
    <row r="4" spans="1:22">
      <c r="A4" s="21" t="s">
        <v>4</v>
      </c>
      <c r="B4" s="2">
        <v>2.0449999999999999</v>
      </c>
      <c r="C4" s="2" t="s">
        <v>3</v>
      </c>
      <c r="E4" s="2" t="s">
        <v>42</v>
      </c>
      <c r="F4" s="2">
        <v>8</v>
      </c>
      <c r="G4" s="2"/>
      <c r="I4" s="2" t="s">
        <v>61</v>
      </c>
      <c r="J4" s="2">
        <v>1.25</v>
      </c>
      <c r="K4" s="2"/>
      <c r="L4" s="20"/>
    </row>
    <row r="5" spans="1:22">
      <c r="A5" s="21" t="s">
        <v>5</v>
      </c>
      <c r="B5" s="2">
        <v>10.324</v>
      </c>
      <c r="C5" s="2" t="s">
        <v>3</v>
      </c>
      <c r="E5" s="2" t="s">
        <v>43</v>
      </c>
      <c r="F5" s="2">
        <v>24</v>
      </c>
      <c r="G5" s="2" t="s">
        <v>17</v>
      </c>
      <c r="I5" s="2" t="s">
        <v>62</v>
      </c>
      <c r="J5" s="2">
        <v>6</v>
      </c>
      <c r="K5" s="2" t="s">
        <v>17</v>
      </c>
      <c r="L5" s="20"/>
    </row>
    <row r="6" spans="1:22">
      <c r="A6" s="21" t="s">
        <v>6</v>
      </c>
      <c r="B6" s="2">
        <v>33.9</v>
      </c>
      <c r="C6" s="2" t="s">
        <v>7</v>
      </c>
      <c r="E6" s="2" t="s">
        <v>44</v>
      </c>
      <c r="F6" s="2">
        <v>26</v>
      </c>
      <c r="G6" s="2" t="s">
        <v>17</v>
      </c>
      <c r="I6" s="2" t="s">
        <v>63</v>
      </c>
      <c r="J6" s="2">
        <v>300</v>
      </c>
      <c r="K6" s="2" t="s">
        <v>17</v>
      </c>
      <c r="L6" s="20"/>
    </row>
    <row r="7" spans="1:22">
      <c r="A7" s="21" t="s">
        <v>8</v>
      </c>
      <c r="B7" s="2">
        <v>0.71399999999999997</v>
      </c>
      <c r="C7" s="2" t="s">
        <v>7</v>
      </c>
      <c r="E7" s="2" t="s">
        <v>45</v>
      </c>
      <c r="F7" s="2">
        <f>0.78*3.14*0.25*F5*F5</f>
        <v>352.68480000000005</v>
      </c>
      <c r="G7" s="2" t="s">
        <v>46</v>
      </c>
      <c r="I7" s="2" t="s">
        <v>64</v>
      </c>
      <c r="J7" s="2">
        <v>300</v>
      </c>
      <c r="K7" s="2" t="s">
        <v>17</v>
      </c>
      <c r="L7" s="20"/>
    </row>
    <row r="8" spans="1:22">
      <c r="A8" s="21" t="s">
        <v>9</v>
      </c>
      <c r="B8" s="2">
        <v>25</v>
      </c>
      <c r="C8" s="2" t="s">
        <v>10</v>
      </c>
      <c r="E8" s="2" t="s">
        <v>47</v>
      </c>
      <c r="F8" s="2">
        <v>1.25</v>
      </c>
      <c r="G8" s="2"/>
      <c r="I8" s="2" t="s">
        <v>65</v>
      </c>
      <c r="J8" s="2">
        <f>2*(J6+J7)</f>
        <v>1200</v>
      </c>
      <c r="K8" s="2" t="s">
        <v>17</v>
      </c>
      <c r="L8" s="20"/>
    </row>
    <row r="9" spans="1:22">
      <c r="A9" s="21" t="s">
        <v>11</v>
      </c>
      <c r="B9" s="2">
        <v>250</v>
      </c>
      <c r="C9" s="2" t="s">
        <v>10</v>
      </c>
      <c r="I9" s="2" t="s">
        <v>66</v>
      </c>
      <c r="J9" s="2"/>
      <c r="K9" s="2"/>
      <c r="L9" s="20"/>
    </row>
    <row r="10" spans="1:22">
      <c r="A10" s="21" t="s">
        <v>12</v>
      </c>
      <c r="B10" s="2">
        <v>800</v>
      </c>
      <c r="C10" s="2" t="s">
        <v>10</v>
      </c>
      <c r="E10" s="35" t="s">
        <v>48</v>
      </c>
      <c r="F10" s="34"/>
      <c r="G10" s="36"/>
      <c r="I10" s="2" t="s">
        <v>68</v>
      </c>
      <c r="J10" s="2">
        <v>0.7</v>
      </c>
      <c r="K10" s="2"/>
      <c r="L10" s="20"/>
    </row>
    <row r="11" spans="1:22">
      <c r="A11" s="21" t="s">
        <v>13</v>
      </c>
      <c r="B11" s="2">
        <v>410</v>
      </c>
      <c r="C11" s="2" t="s">
        <v>10</v>
      </c>
      <c r="E11" s="8" t="s">
        <v>49</v>
      </c>
      <c r="F11" s="2">
        <f>128.73</f>
        <v>128.72999999999999</v>
      </c>
      <c r="G11" s="2" t="s">
        <v>3</v>
      </c>
      <c r="I11" s="2" t="s">
        <v>70</v>
      </c>
      <c r="J11" s="2">
        <f>J10*J5</f>
        <v>4.1999999999999993</v>
      </c>
      <c r="K11" s="2" t="s">
        <v>17</v>
      </c>
      <c r="L11" s="20"/>
    </row>
    <row r="12" spans="1:22">
      <c r="A12" s="21" t="s">
        <v>14</v>
      </c>
      <c r="B12" s="2" t="s">
        <v>15</v>
      </c>
      <c r="C12" s="2" t="s">
        <v>16</v>
      </c>
      <c r="E12" s="2" t="s">
        <v>50</v>
      </c>
      <c r="F12" s="2">
        <f>SQRT(B4^2+B5^2)</f>
        <v>10.524590300814564</v>
      </c>
      <c r="G12" s="2" t="s">
        <v>3</v>
      </c>
      <c r="I12" s="2" t="s">
        <v>67</v>
      </c>
      <c r="J12" s="2">
        <f>B11*0.577/J4*J11</f>
        <v>794.87519999999984</v>
      </c>
      <c r="K12" s="2" t="s">
        <v>69</v>
      </c>
      <c r="L12" s="20"/>
    </row>
    <row r="13" spans="1:22">
      <c r="A13" s="21" t="s">
        <v>17</v>
      </c>
      <c r="B13" s="2">
        <v>600</v>
      </c>
      <c r="C13" s="2">
        <v>600</v>
      </c>
      <c r="E13" s="2" t="s">
        <v>51</v>
      </c>
      <c r="F13" s="2">
        <f>F12/F4</f>
        <v>1.3155737876018205</v>
      </c>
      <c r="G13" s="2" t="s">
        <v>3</v>
      </c>
      <c r="I13" s="2" t="s">
        <v>71</v>
      </c>
      <c r="J13" s="2">
        <f>F12</f>
        <v>10.524590300814564</v>
      </c>
      <c r="K13" s="2" t="s">
        <v>3</v>
      </c>
      <c r="L13" s="20"/>
    </row>
    <row r="14" spans="1:22">
      <c r="A14" s="21" t="s">
        <v>18</v>
      </c>
      <c r="B14" s="2">
        <v>24</v>
      </c>
      <c r="C14" s="2" t="s">
        <v>17</v>
      </c>
      <c r="I14" s="2" t="s">
        <v>72</v>
      </c>
      <c r="J14" s="2">
        <f>J13*1000/(J8*J11)</f>
        <v>2.0882123612727317</v>
      </c>
      <c r="K14" s="2" t="s">
        <v>69</v>
      </c>
      <c r="L14" s="20"/>
    </row>
    <row r="15" spans="1:22">
      <c r="A15" s="21" t="s">
        <v>19</v>
      </c>
      <c r="B15" s="2">
        <v>26</v>
      </c>
      <c r="C15" s="2" t="s">
        <v>17</v>
      </c>
      <c r="E15" s="2" t="s">
        <v>52</v>
      </c>
      <c r="F15" s="2">
        <f>(0.9*B10*F7/F8)/1000</f>
        <v>203.14644480000004</v>
      </c>
      <c r="G15" s="2" t="s">
        <v>3</v>
      </c>
      <c r="I15" s="2" t="s">
        <v>76</v>
      </c>
      <c r="J15" s="2">
        <f>(2*(J7^3/12)+2*(J7*J7^2/2^2))*2</f>
        <v>36000000</v>
      </c>
      <c r="K15" s="2" t="s">
        <v>77</v>
      </c>
      <c r="L15" s="20"/>
    </row>
    <row r="16" spans="1:22">
      <c r="A16" s="21" t="s">
        <v>20</v>
      </c>
      <c r="B16" s="2">
        <f>2.5*B14</f>
        <v>60</v>
      </c>
      <c r="C16" s="2" t="s">
        <v>17</v>
      </c>
      <c r="E16" s="2" t="s">
        <v>53</v>
      </c>
      <c r="F16" s="7" t="str">
        <f>IF(F15&gt;F11,"SAFE","UNSAFE")</f>
        <v>SAFE</v>
      </c>
      <c r="G16" s="2"/>
      <c r="I16" s="2" t="s">
        <v>78</v>
      </c>
      <c r="J16" s="2">
        <f>SQRT((J6/2)^2+(J7/2)^2)</f>
        <v>212.13203435596427</v>
      </c>
      <c r="K16" s="2" t="s">
        <v>17</v>
      </c>
      <c r="L16" s="20"/>
    </row>
    <row r="17" spans="1:12">
      <c r="A17" s="21" t="s">
        <v>21</v>
      </c>
      <c r="B17" s="2">
        <f>175</f>
        <v>175</v>
      </c>
      <c r="C17" s="2" t="s">
        <v>17</v>
      </c>
      <c r="I17" s="2" t="s">
        <v>73</v>
      </c>
      <c r="J17" s="2">
        <f>B6*10^6*J16/(J15*J11)</f>
        <v>47.5613489726666</v>
      </c>
      <c r="K17" s="2" t="s">
        <v>69</v>
      </c>
      <c r="L17" s="20"/>
    </row>
    <row r="18" spans="1:12">
      <c r="A18" s="21" t="s">
        <v>22</v>
      </c>
      <c r="B18" s="2">
        <f>1.5*B15</f>
        <v>39</v>
      </c>
      <c r="C18" s="2" t="s">
        <v>17</v>
      </c>
      <c r="E18" s="2" t="s">
        <v>54</v>
      </c>
      <c r="F18" s="2">
        <f>(B10*0.58/F8*(1*F7))/1000</f>
        <v>130.91659776</v>
      </c>
      <c r="G18" s="2" t="s">
        <v>3</v>
      </c>
      <c r="I18" s="2" t="s">
        <v>74</v>
      </c>
      <c r="J18" s="2">
        <f>B7*10^6*J16/(J15*J11)</f>
        <v>1.0017346066809425</v>
      </c>
      <c r="K18" s="2" t="s">
        <v>69</v>
      </c>
      <c r="L18" s="20"/>
    </row>
    <row r="19" spans="1:12">
      <c r="A19" s="21" t="s">
        <v>23</v>
      </c>
      <c r="B19" s="2">
        <f>75</f>
        <v>75</v>
      </c>
      <c r="C19" s="2" t="s">
        <v>17</v>
      </c>
      <c r="E19" s="2" t="s">
        <v>53</v>
      </c>
      <c r="F19" s="7" t="str">
        <f>IF(F18&gt;F13,"SAFE","UNSAFE")</f>
        <v>SAFE</v>
      </c>
      <c r="G19" s="2"/>
      <c r="I19" s="2" t="s">
        <v>75</v>
      </c>
      <c r="J19" s="2">
        <f>SQRT(J17^2+J18^2)</f>
        <v>47.571897043548688</v>
      </c>
      <c r="K19" s="2" t="s">
        <v>69</v>
      </c>
      <c r="L19" s="20"/>
    </row>
    <row r="20" spans="1:12">
      <c r="A20" s="21" t="s">
        <v>26</v>
      </c>
      <c r="B20" s="2">
        <f>B13*C13^3/12</f>
        <v>10800000000</v>
      </c>
      <c r="C20" s="2" t="s">
        <v>28</v>
      </c>
      <c r="F20" s="4"/>
      <c r="I20" s="2" t="s">
        <v>79</v>
      </c>
      <c r="J20" s="7" t="str">
        <f>IF(J19&gt;J12,"Unsafe","Safe")</f>
        <v>Safe</v>
      </c>
      <c r="K20" s="2"/>
      <c r="L20" s="20"/>
    </row>
    <row r="21" spans="1:12">
      <c r="A21" s="21" t="s">
        <v>27</v>
      </c>
      <c r="B21" s="2">
        <f>C13*B13^3/12</f>
        <v>10800000000</v>
      </c>
      <c r="C21" s="2" t="s">
        <v>28</v>
      </c>
      <c r="E21" s="2" t="s">
        <v>55</v>
      </c>
      <c r="F21" s="2"/>
      <c r="L21" s="20"/>
    </row>
    <row r="22" spans="1:12" ht="15.75" thickBot="1">
      <c r="A22" s="22"/>
      <c r="E22" s="2" t="s">
        <v>56</v>
      </c>
      <c r="F22" s="7" t="str">
        <f>IF(((F11/F15)^2+(F13/F18)^2)&gt;1.01,"Unsafe","Safe")</f>
        <v>Safe</v>
      </c>
      <c r="L22" s="20"/>
    </row>
    <row r="23" spans="1:12">
      <c r="A23" s="22"/>
      <c r="I23" s="10" t="s">
        <v>80</v>
      </c>
      <c r="J23" s="11"/>
      <c r="K23" s="12"/>
      <c r="L23" s="20"/>
    </row>
    <row r="24" spans="1:12">
      <c r="A24" s="28" t="s">
        <v>24</v>
      </c>
      <c r="B24" s="29"/>
      <c r="C24" s="29"/>
      <c r="D24" s="5"/>
      <c r="E24" s="9" t="s">
        <v>57</v>
      </c>
      <c r="F24" s="2">
        <f>F15*1000/(3.14*24*2.24)</f>
        <v>1203.4285714285713</v>
      </c>
      <c r="G24" s="2" t="s">
        <v>17</v>
      </c>
      <c r="I24" s="13" t="s">
        <v>81</v>
      </c>
      <c r="J24" s="14">
        <f>B3</f>
        <v>1376</v>
      </c>
      <c r="K24" s="15" t="s">
        <v>3</v>
      </c>
      <c r="L24" s="20"/>
    </row>
    <row r="25" spans="1:12">
      <c r="A25" s="21" t="s">
        <v>25</v>
      </c>
      <c r="B25" s="2">
        <f>B3*1000/(B13*C13)+B6*10^6/B20+B7*10^6/B21</f>
        <v>3.8254272222222228</v>
      </c>
      <c r="C25" s="2" t="s">
        <v>10</v>
      </c>
      <c r="E25" s="2" t="s">
        <v>58</v>
      </c>
      <c r="F25" s="2">
        <f>ROUNDUP(F24,-2)</f>
        <v>1300</v>
      </c>
      <c r="G25" s="2" t="s">
        <v>17</v>
      </c>
      <c r="I25" s="13" t="s">
        <v>83</v>
      </c>
      <c r="J25" s="14">
        <f>B13</f>
        <v>600</v>
      </c>
      <c r="K25" s="15" t="s">
        <v>17</v>
      </c>
      <c r="L25" s="20"/>
    </row>
    <row r="26" spans="1:12">
      <c r="A26" s="21" t="s">
        <v>29</v>
      </c>
      <c r="B26" s="2">
        <f>0.45*B8</f>
        <v>11.25</v>
      </c>
      <c r="C26" s="2" t="s">
        <v>10</v>
      </c>
      <c r="I26" s="13" t="s">
        <v>84</v>
      </c>
      <c r="J26" s="14">
        <f>C13</f>
        <v>600</v>
      </c>
      <c r="K26" s="15" t="s">
        <v>17</v>
      </c>
      <c r="L26" s="20"/>
    </row>
    <row r="27" spans="1:12">
      <c r="A27" s="21" t="s">
        <v>30</v>
      </c>
      <c r="B27" s="2">
        <f>B3*1000/(B13*C13)+B6*10^6/B20*B13/2+B7*10^6/B21*C13/2</f>
        <v>4.7837222222222229</v>
      </c>
      <c r="C27" s="2" t="s">
        <v>10</v>
      </c>
      <c r="I27" s="13" t="s">
        <v>82</v>
      </c>
      <c r="J27" s="14">
        <f>B37</f>
        <v>20</v>
      </c>
      <c r="K27" s="15" t="s">
        <v>17</v>
      </c>
      <c r="L27" s="20"/>
    </row>
    <row r="28" spans="1:12">
      <c r="A28" s="21" t="s">
        <v>31</v>
      </c>
      <c r="B28" s="2">
        <f>B3*1000/(B13*C13)-B6*10^6/B20*B13/2-B7*10^6/B21*C13/2</f>
        <v>2.8607222222222224</v>
      </c>
      <c r="C28" s="2" t="s">
        <v>10</v>
      </c>
      <c r="I28" s="16" t="s">
        <v>57</v>
      </c>
      <c r="J28" s="14">
        <f>F25</f>
        <v>1300</v>
      </c>
      <c r="K28" s="15" t="s">
        <v>17</v>
      </c>
      <c r="L28" s="20"/>
    </row>
    <row r="29" spans="1:12" ht="15.75" thickBot="1">
      <c r="A29" s="21" t="s">
        <v>32</v>
      </c>
      <c r="B29" s="7" t="str">
        <f>IF(B26&gt;B27,"Safe","Unsafe")</f>
        <v>Safe</v>
      </c>
      <c r="C29" s="2"/>
      <c r="I29" s="17" t="s">
        <v>75</v>
      </c>
      <c r="J29" s="18">
        <f>J19</f>
        <v>47.571897043548688</v>
      </c>
      <c r="K29" s="19" t="s">
        <v>69</v>
      </c>
      <c r="L29" s="20"/>
    </row>
    <row r="30" spans="1:12">
      <c r="A30" s="21" t="s">
        <v>33</v>
      </c>
      <c r="B30" s="7" t="str">
        <f>IF(B28&gt;0,"No UPLIFT","UPLIFT")</f>
        <v>No UPLIFT</v>
      </c>
      <c r="C30" s="2"/>
      <c r="L30" s="20"/>
    </row>
    <row r="31" spans="1:12">
      <c r="A31" s="22"/>
      <c r="B31" s="6"/>
      <c r="L31" s="20"/>
    </row>
    <row r="32" spans="1:12">
      <c r="A32" s="21" t="s">
        <v>39</v>
      </c>
      <c r="B32" s="2">
        <f>1.1</f>
        <v>1.1000000000000001</v>
      </c>
      <c r="C32" s="2"/>
      <c r="L32" s="20"/>
    </row>
    <row r="33" spans="1:12">
      <c r="A33" s="23" t="s">
        <v>34</v>
      </c>
      <c r="B33" s="2"/>
      <c r="C33" s="2"/>
      <c r="L33" s="20"/>
    </row>
    <row r="34" spans="1:12">
      <c r="A34" s="21" t="s">
        <v>35</v>
      </c>
      <c r="B34" s="2">
        <v>100</v>
      </c>
      <c r="C34" s="2" t="s">
        <v>17</v>
      </c>
      <c r="L34" s="20"/>
    </row>
    <row r="35" spans="1:12">
      <c r="A35" s="21" t="s">
        <v>36</v>
      </c>
      <c r="B35" s="2">
        <v>100</v>
      </c>
      <c r="C35" s="2" t="s">
        <v>17</v>
      </c>
      <c r="L35" s="20"/>
    </row>
    <row r="36" spans="1:12">
      <c r="A36" s="21" t="s">
        <v>37</v>
      </c>
      <c r="B36" s="2">
        <f>SQRT((2.5*B27*(B34^2-0.3*B35^2))/(B9/B32))</f>
        <v>19.192358143571393</v>
      </c>
      <c r="C36" s="2" t="s">
        <v>17</v>
      </c>
      <c r="L36" s="20"/>
    </row>
    <row r="37" spans="1:12" ht="15.75" thickBot="1">
      <c r="A37" s="24" t="s">
        <v>38</v>
      </c>
      <c r="B37" s="25">
        <v>20</v>
      </c>
      <c r="C37" s="25" t="s">
        <v>17</v>
      </c>
      <c r="D37" s="26"/>
      <c r="E37" s="26"/>
      <c r="F37" s="26"/>
      <c r="G37" s="26"/>
      <c r="H37" s="26"/>
      <c r="I37" s="26"/>
      <c r="J37" s="26"/>
      <c r="K37" s="26"/>
      <c r="L37" s="27"/>
    </row>
  </sheetData>
  <mergeCells count="8">
    <mergeCell ref="A24:C24"/>
    <mergeCell ref="A1:L1"/>
    <mergeCell ref="A2:C2"/>
    <mergeCell ref="E2:G2"/>
    <mergeCell ref="E3:G3"/>
    <mergeCell ref="E10:G10"/>
    <mergeCell ref="I2:K2"/>
    <mergeCell ref="I3:K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LAB</dc:creator>
  <cp:lastModifiedBy>CAD LAB</cp:lastModifiedBy>
  <dcterms:created xsi:type="dcterms:W3CDTF">2025-10-23T09:03:59Z</dcterms:created>
  <dcterms:modified xsi:type="dcterms:W3CDTF">2025-10-24T07:03:36Z</dcterms:modified>
</cp:coreProperties>
</file>