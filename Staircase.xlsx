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activeTab="1"/>
  </bookViews>
  <sheets>
    <sheet name="Sheet1" sheetId="1" r:id="rId1"/>
    <sheet name="Sheet2" sheetId="2" r:id="rId2"/>
  </sheets>
  <calcPr calcId="124519"/>
</workbook>
</file>

<file path=xl/calcChain.xml><?xml version="1.0" encoding="utf-8"?>
<calcChain xmlns="http://schemas.openxmlformats.org/spreadsheetml/2006/main">
  <c r="K25" i="2"/>
  <c r="K24"/>
  <c r="K26" i="1"/>
  <c r="K25"/>
  <c r="B29" i="2"/>
  <c r="B27"/>
  <c r="B34"/>
  <c r="K34"/>
  <c r="K33"/>
  <c r="F32"/>
  <c r="K30"/>
  <c r="B30"/>
  <c r="K29"/>
  <c r="B28"/>
  <c r="B24"/>
  <c r="N21"/>
  <c r="L21"/>
  <c r="K20"/>
  <c r="F20"/>
  <c r="B20"/>
  <c r="F3" s="1"/>
  <c r="K19"/>
  <c r="B19"/>
  <c r="K18"/>
  <c r="F18"/>
  <c r="B18"/>
  <c r="K16"/>
  <c r="K29" i="1"/>
  <c r="N22"/>
  <c r="K35" s="1"/>
  <c r="K21"/>
  <c r="H21"/>
  <c r="K33" s="1"/>
  <c r="F4"/>
  <c r="B28"/>
  <c r="K31"/>
  <c r="K30"/>
  <c r="F33"/>
  <c r="L22"/>
  <c r="K19"/>
  <c r="B35" i="2" l="1"/>
  <c r="B36" s="1"/>
  <c r="F9" s="1"/>
  <c r="F10" s="1"/>
  <c r="F16" s="1"/>
  <c r="F17" s="1"/>
  <c r="F19" s="1"/>
  <c r="H20" s="1"/>
  <c r="K28"/>
  <c r="E33"/>
  <c r="F25" i="1"/>
  <c r="K32" s="1"/>
  <c r="F24"/>
  <c r="F21"/>
  <c r="F19"/>
  <c r="B31"/>
  <c r="B29"/>
  <c r="B25"/>
  <c r="B19"/>
  <c r="B20" s="1"/>
  <c r="B21" s="1"/>
  <c r="K32" i="2" l="1"/>
  <c r="F23"/>
  <c r="F24"/>
  <c r="E34" i="1"/>
  <c r="K17"/>
  <c r="B32"/>
  <c r="B33" s="1"/>
  <c r="F10" s="1"/>
  <c r="F28"/>
  <c r="F27" i="2" l="1"/>
  <c r="K31"/>
  <c r="F26"/>
  <c r="K20" i="1"/>
  <c r="K34"/>
  <c r="F11"/>
  <c r="F17" s="1"/>
  <c r="F18" s="1"/>
  <c r="F20" s="1"/>
  <c r="F27" l="1"/>
</calcChain>
</file>

<file path=xl/sharedStrings.xml><?xml version="1.0" encoding="utf-8"?>
<sst xmlns="http://schemas.openxmlformats.org/spreadsheetml/2006/main" count="228" uniqueCount="75">
  <si>
    <t>DESIGN OF STAIRCASE</t>
  </si>
  <si>
    <t>INPUT DATA</t>
  </si>
  <si>
    <t>Width</t>
  </si>
  <si>
    <t>Floor Height</t>
  </si>
  <si>
    <t>Fck</t>
  </si>
  <si>
    <t>Fy</t>
  </si>
  <si>
    <t>Riser</t>
  </si>
  <si>
    <t>Tread</t>
  </si>
  <si>
    <t>Landing Width</t>
  </si>
  <si>
    <t>No of Risers in each flight</t>
  </si>
  <si>
    <t>Height  of each flight</t>
  </si>
  <si>
    <t>No of treads in each Flight</t>
  </si>
  <si>
    <t xml:space="preserve"> </t>
  </si>
  <si>
    <t>Calc of Effective depth</t>
  </si>
  <si>
    <t>the depth of Waist Slab (assumed)</t>
  </si>
  <si>
    <t>m</t>
  </si>
  <si>
    <t>N/sqmm</t>
  </si>
  <si>
    <t>mm</t>
  </si>
  <si>
    <t>Effective Depth</t>
  </si>
  <si>
    <t>Dia of Reinforcement</t>
  </si>
  <si>
    <t>Clear cover</t>
  </si>
  <si>
    <t xml:space="preserve">Finish Load </t>
  </si>
  <si>
    <t>Live Load</t>
  </si>
  <si>
    <t>kn/sqmm</t>
  </si>
  <si>
    <t>Load Calculations</t>
  </si>
  <si>
    <t>Self weight ,wd</t>
  </si>
  <si>
    <t>Grade of Concrete</t>
  </si>
  <si>
    <t>wt. of steps</t>
  </si>
  <si>
    <t>live load</t>
  </si>
  <si>
    <t>finish Load</t>
  </si>
  <si>
    <t>Total Worling Load</t>
  </si>
  <si>
    <t>Factored Load ,Wu</t>
  </si>
  <si>
    <t>Design Moment</t>
  </si>
  <si>
    <t>Consider 1m Width of Slab,Wu</t>
  </si>
  <si>
    <t>kn/sqm</t>
  </si>
  <si>
    <t>Mu max = WuL^2/12</t>
  </si>
  <si>
    <t>Effective SPAN</t>
  </si>
  <si>
    <t>kn.m</t>
  </si>
  <si>
    <t>Main  STEEL</t>
  </si>
  <si>
    <t>Rqequired Ast</t>
  </si>
  <si>
    <t>Mu/bd^2</t>
  </si>
  <si>
    <t>sqmm</t>
  </si>
  <si>
    <t>area of  BAR</t>
  </si>
  <si>
    <t xml:space="preserve">Spacing </t>
  </si>
  <si>
    <t xml:space="preserve">Provide </t>
  </si>
  <si>
    <t>mm@</t>
  </si>
  <si>
    <t>mm @</t>
  </si>
  <si>
    <t>mm c/c</t>
  </si>
  <si>
    <t>Check for Deflection</t>
  </si>
  <si>
    <t>Sprovided</t>
  </si>
  <si>
    <t>Ast Pro</t>
  </si>
  <si>
    <t>fs=0.58xfyxAst.req/Ast.pro</t>
  </si>
  <si>
    <t>pt .provided</t>
  </si>
  <si>
    <t>%</t>
  </si>
  <si>
    <t>Modification Factors</t>
  </si>
  <si>
    <t>kt</t>
  </si>
  <si>
    <t>kc</t>
  </si>
  <si>
    <t>(l/d)basic</t>
  </si>
  <si>
    <t>(l/d)mod</t>
  </si>
  <si>
    <t>distribution Steel:</t>
  </si>
  <si>
    <t>Ast(min)</t>
  </si>
  <si>
    <t xml:space="preserve">Dia </t>
  </si>
  <si>
    <t>Area</t>
  </si>
  <si>
    <t>S</t>
  </si>
  <si>
    <t xml:space="preserve">Development Length </t>
  </si>
  <si>
    <t>Ld</t>
  </si>
  <si>
    <t>provide Ld</t>
  </si>
  <si>
    <t xml:space="preserve">Summary </t>
  </si>
  <si>
    <t>Ast Provided</t>
  </si>
  <si>
    <t>Distribution ast pro</t>
  </si>
  <si>
    <t>with Spacing</t>
  </si>
  <si>
    <t>width of support</t>
  </si>
  <si>
    <t>5d</t>
  </si>
  <si>
    <t>Effective Span</t>
  </si>
  <si>
    <t>self weight of Landing Slab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</si>
</sst>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u/>
      <sz val="11"/>
      <color theme="10"/>
      <name val="Times New Roman"/>
      <family val="1"/>
    </font>
    <font>
      <b/>
      <i/>
      <sz val="12"/>
      <color theme="1"/>
      <name val="Times New Roman"/>
      <family val="1"/>
    </font>
    <font>
      <b/>
      <i/>
      <u/>
      <sz val="13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3" fillId="0" borderId="0" xfId="0" applyFont="1"/>
    <xf numFmtId="0" fontId="3" fillId="4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2" fillId="4" borderId="1" xfId="0" applyFont="1" applyFill="1" applyBorder="1"/>
    <xf numFmtId="0" fontId="4" fillId="2" borderId="1" xfId="0" applyFont="1" applyFill="1" applyBorder="1"/>
    <xf numFmtId="0" fontId="5" fillId="2" borderId="1" xfId="1" applyFont="1" applyFill="1" applyBorder="1" applyAlignment="1" applyProtection="1"/>
    <xf numFmtId="0" fontId="3" fillId="0" borderId="2" xfId="0" applyFont="1" applyBorder="1"/>
    <xf numFmtId="0" fontId="4" fillId="2" borderId="3" xfId="0" applyFont="1" applyFill="1" applyBorder="1"/>
    <xf numFmtId="0" fontId="3" fillId="0" borderId="0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3" borderId="1" xfId="0" applyFont="1" applyFill="1" applyBorder="1"/>
    <xf numFmtId="0" fontId="6" fillId="0" borderId="0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6" fillId="0" borderId="9" xfId="0" applyFont="1" applyBorder="1"/>
    <xf numFmtId="0" fontId="3" fillId="0" borderId="1" xfId="0" applyFont="1" applyFill="1" applyBorder="1"/>
    <xf numFmtId="0" fontId="0" fillId="0" borderId="1" xfId="0" applyBorder="1"/>
    <xf numFmtId="0" fontId="4" fillId="0" borderId="1" xfId="0" applyFont="1" applyFill="1" applyBorder="1"/>
    <xf numFmtId="0" fontId="2" fillId="5" borderId="0" xfId="0" applyFont="1" applyFill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28</xdr:row>
      <xdr:rowOff>38101</xdr:rowOff>
    </xdr:from>
    <xdr:to>
      <xdr:col>15</xdr:col>
      <xdr:colOff>352425</xdr:colOff>
      <xdr:row>31</xdr:row>
      <xdr:rowOff>95251</xdr:rowOff>
    </xdr:to>
    <xdr:cxnSp macro="">
      <xdr:nvCxnSpPr>
        <xdr:cNvPr id="3" name="Straight Connector 2"/>
        <xdr:cNvCxnSpPr/>
      </xdr:nvCxnSpPr>
      <xdr:spPr>
        <a:xfrm rot="5400000" flipH="1" flipV="1">
          <a:off x="12963525" y="5743576"/>
          <a:ext cx="6572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352425</xdr:colOff>
      <xdr:row>25</xdr:row>
      <xdr:rowOff>38100</xdr:rowOff>
    </xdr:from>
    <xdr:to>
      <xdr:col>19</xdr:col>
      <xdr:colOff>209550</xdr:colOff>
      <xdr:row>28</xdr:row>
      <xdr:rowOff>66676</xdr:rowOff>
    </xdr:to>
    <xdr:cxnSp macro="">
      <xdr:nvCxnSpPr>
        <xdr:cNvPr id="4" name="Straight Connector 3"/>
        <xdr:cNvCxnSpPr/>
      </xdr:nvCxnSpPr>
      <xdr:spPr>
        <a:xfrm flipV="1">
          <a:off x="13296900" y="4800600"/>
          <a:ext cx="2295525" cy="6477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209550</xdr:colOff>
      <xdr:row>25</xdr:row>
      <xdr:rowOff>38100</xdr:rowOff>
    </xdr:from>
    <xdr:to>
      <xdr:col>19</xdr:col>
      <xdr:colOff>219075</xdr:colOff>
      <xdr:row>28</xdr:row>
      <xdr:rowOff>76200</xdr:rowOff>
    </xdr:to>
    <xdr:cxnSp macro="">
      <xdr:nvCxnSpPr>
        <xdr:cNvPr id="7" name="Straight Connector 6"/>
        <xdr:cNvCxnSpPr/>
      </xdr:nvCxnSpPr>
      <xdr:spPr>
        <a:xfrm rot="5400000" flipH="1" flipV="1">
          <a:off x="15268575" y="5124450"/>
          <a:ext cx="65722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25</xdr:row>
      <xdr:rowOff>19050</xdr:rowOff>
    </xdr:from>
    <xdr:to>
      <xdr:col>21</xdr:col>
      <xdr:colOff>104775</xdr:colOff>
      <xdr:row>25</xdr:row>
      <xdr:rowOff>28577</xdr:rowOff>
    </xdr:to>
    <xdr:cxnSp macro="">
      <xdr:nvCxnSpPr>
        <xdr:cNvPr id="8" name="Straight Connector 7"/>
        <xdr:cNvCxnSpPr/>
      </xdr:nvCxnSpPr>
      <xdr:spPr>
        <a:xfrm flipV="1">
          <a:off x="15611475" y="4781550"/>
          <a:ext cx="1095375" cy="95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66676</xdr:colOff>
      <xdr:row>29</xdr:row>
      <xdr:rowOff>190500</xdr:rowOff>
    </xdr:from>
    <xdr:to>
      <xdr:col>15</xdr:col>
      <xdr:colOff>76201</xdr:colOff>
      <xdr:row>32</xdr:row>
      <xdr:rowOff>114300</xdr:rowOff>
    </xdr:to>
    <xdr:cxnSp macro="">
      <xdr:nvCxnSpPr>
        <xdr:cNvPr id="14" name="Straight Connector 13"/>
        <xdr:cNvCxnSpPr/>
      </xdr:nvCxnSpPr>
      <xdr:spPr>
        <a:xfrm rot="16200000" flipV="1">
          <a:off x="12525376" y="6038850"/>
          <a:ext cx="5238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57150</xdr:colOff>
      <xdr:row>26</xdr:row>
      <xdr:rowOff>57150</xdr:rowOff>
    </xdr:from>
    <xdr:to>
      <xdr:col>18</xdr:col>
      <xdr:colOff>104775</xdr:colOff>
      <xdr:row>29</xdr:row>
      <xdr:rowOff>190500</xdr:rowOff>
    </xdr:to>
    <xdr:cxnSp macro="">
      <xdr:nvCxnSpPr>
        <xdr:cNvPr id="16" name="Straight Connector 15"/>
        <xdr:cNvCxnSpPr/>
      </xdr:nvCxnSpPr>
      <xdr:spPr>
        <a:xfrm flipV="1">
          <a:off x="12773025" y="5019675"/>
          <a:ext cx="1876425" cy="762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104775</xdr:colOff>
      <xdr:row>26</xdr:row>
      <xdr:rowOff>66675</xdr:rowOff>
    </xdr:from>
    <xdr:to>
      <xdr:col>19</xdr:col>
      <xdr:colOff>390525</xdr:colOff>
      <xdr:row>26</xdr:row>
      <xdr:rowOff>76200</xdr:rowOff>
    </xdr:to>
    <xdr:cxnSp macro="">
      <xdr:nvCxnSpPr>
        <xdr:cNvPr id="21" name="Straight Connector 20"/>
        <xdr:cNvCxnSpPr/>
      </xdr:nvCxnSpPr>
      <xdr:spPr>
        <a:xfrm>
          <a:off x="14649450" y="5029200"/>
          <a:ext cx="8953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381000</xdr:colOff>
      <xdr:row>26</xdr:row>
      <xdr:rowOff>85726</xdr:rowOff>
    </xdr:from>
    <xdr:to>
      <xdr:col>19</xdr:col>
      <xdr:colOff>390525</xdr:colOff>
      <xdr:row>29</xdr:row>
      <xdr:rowOff>9526</xdr:rowOff>
    </xdr:to>
    <xdr:cxnSp macro="">
      <xdr:nvCxnSpPr>
        <xdr:cNvPr id="22" name="Straight Connector 21"/>
        <xdr:cNvCxnSpPr/>
      </xdr:nvCxnSpPr>
      <xdr:spPr>
        <a:xfrm rot="16200000" flipH="1">
          <a:off x="15263813" y="5319713"/>
          <a:ext cx="5524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@" TargetMode="External"/><Relationship Id="rId1" Type="http://schemas.openxmlformats.org/officeDocument/2006/relationships/hyperlink" Target="mailto:mm@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mm@" TargetMode="External"/><Relationship Id="rId1" Type="http://schemas.openxmlformats.org/officeDocument/2006/relationships/hyperlink" Target="mailto:mm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showGridLines="0" workbookViewId="0">
      <selection activeCell="J24" sqref="J24:L26"/>
    </sheetView>
  </sheetViews>
  <sheetFormatPr defaultRowHeight="15"/>
  <cols>
    <col min="1" max="1" width="32" bestFit="1" customWidth="1"/>
    <col min="5" max="5" width="28.42578125" bestFit="1" customWidth="1"/>
    <col min="6" max="6" width="12" bestFit="1" customWidth="1"/>
    <col min="8" max="8" width="10" bestFit="1" customWidth="1"/>
    <col min="10" max="10" width="20.28515625" bestFit="1" customWidth="1"/>
  </cols>
  <sheetData>
    <row r="1" spans="1:2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1"/>
      <c r="Q1" s="1"/>
      <c r="R1" s="1"/>
      <c r="S1" s="1"/>
      <c r="T1" s="1"/>
      <c r="U1" s="1"/>
      <c r="V1" s="1"/>
    </row>
    <row r="2" spans="1:22">
      <c r="A2" s="2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3"/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3"/>
      <c r="B4" s="3"/>
      <c r="C4" s="3"/>
      <c r="D4" s="1"/>
      <c r="E4" s="4" t="s">
        <v>36</v>
      </c>
      <c r="F4" s="3">
        <f>(B10*B21+B18)*10^-3</f>
        <v>3.5300000000000002</v>
      </c>
      <c r="G4" s="3" t="s">
        <v>15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3" t="s">
        <v>2</v>
      </c>
      <c r="B5" s="3">
        <v>2.6</v>
      </c>
      <c r="C5" s="3" t="s">
        <v>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3" t="s">
        <v>3</v>
      </c>
      <c r="B6" s="3">
        <v>3.5</v>
      </c>
      <c r="C6" s="3" t="s">
        <v>15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3" t="s">
        <v>4</v>
      </c>
      <c r="B7" s="3">
        <v>25</v>
      </c>
      <c r="C7" s="3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3" t="s">
        <v>5</v>
      </c>
      <c r="B8" s="3">
        <v>500</v>
      </c>
      <c r="C8" s="3" t="s">
        <v>16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3" t="s">
        <v>6</v>
      </c>
      <c r="B9" s="3">
        <v>150</v>
      </c>
      <c r="C9" s="3" t="s">
        <v>17</v>
      </c>
      <c r="D9" s="1"/>
      <c r="E9" s="3" t="s">
        <v>32</v>
      </c>
      <c r="F9" s="3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3" t="s">
        <v>7</v>
      </c>
      <c r="B10" s="3">
        <v>300</v>
      </c>
      <c r="C10" s="3" t="s">
        <v>17</v>
      </c>
      <c r="D10" s="1"/>
      <c r="E10" s="3" t="s">
        <v>33</v>
      </c>
      <c r="F10" s="3">
        <f>B33</f>
        <v>12.553284322265133</v>
      </c>
      <c r="G10" s="3" t="s">
        <v>34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3" t="s">
        <v>8</v>
      </c>
      <c r="B11" s="3">
        <v>1200</v>
      </c>
      <c r="C11" s="3" t="s">
        <v>17</v>
      </c>
      <c r="D11" s="1"/>
      <c r="E11" s="3" t="s">
        <v>35</v>
      </c>
      <c r="F11" s="3">
        <f>F10*F4*F4/12</f>
        <v>13.035435050942802</v>
      </c>
      <c r="G11" s="3" t="s">
        <v>37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3" t="s">
        <v>19</v>
      </c>
      <c r="B12" s="3">
        <v>12</v>
      </c>
      <c r="C12" s="3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3" t="s">
        <v>20</v>
      </c>
      <c r="B13" s="3">
        <v>20</v>
      </c>
      <c r="C13" s="3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3" t="s">
        <v>21</v>
      </c>
      <c r="B14" s="3">
        <v>1</v>
      </c>
      <c r="C14" s="3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3" t="s">
        <v>22</v>
      </c>
      <c r="B15" s="3">
        <v>4</v>
      </c>
      <c r="C15" s="3" t="s">
        <v>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3"/>
      <c r="B16" s="3"/>
      <c r="C16" s="3"/>
      <c r="D16" s="1"/>
      <c r="E16" s="5" t="s">
        <v>38</v>
      </c>
      <c r="F16" s="8"/>
      <c r="G16" s="3"/>
      <c r="H16" s="10"/>
      <c r="I16" s="10"/>
      <c r="J16" s="5" t="s">
        <v>59</v>
      </c>
      <c r="K16" s="11"/>
      <c r="L16" s="3"/>
      <c r="M16" s="10"/>
      <c r="N16" s="10"/>
      <c r="O16" s="10"/>
      <c r="P16" s="1"/>
      <c r="Q16" s="1"/>
      <c r="R16" s="1"/>
      <c r="S16" s="1"/>
      <c r="T16" s="1"/>
      <c r="U16" s="1"/>
      <c r="V16" s="1"/>
    </row>
    <row r="17" spans="1:22">
      <c r="A17" s="3" t="s">
        <v>26</v>
      </c>
      <c r="B17" s="3">
        <v>25</v>
      </c>
      <c r="C17" s="3"/>
      <c r="D17" s="1"/>
      <c r="E17" s="3" t="s">
        <v>40</v>
      </c>
      <c r="F17" s="3">
        <f>F11*10^6/(1000*B25^2)</f>
        <v>1.3300107183902461</v>
      </c>
      <c r="G17" s="8" t="s">
        <v>16</v>
      </c>
      <c r="H17" s="12"/>
      <c r="I17" s="13"/>
      <c r="J17" s="11" t="s">
        <v>60</v>
      </c>
      <c r="K17" s="3">
        <f>0.12/100*1000*B25</f>
        <v>118.8</v>
      </c>
      <c r="L17" s="3" t="s">
        <v>41</v>
      </c>
      <c r="M17" s="10"/>
      <c r="N17" s="10"/>
      <c r="O17" s="10"/>
      <c r="P17" s="1"/>
      <c r="Q17" s="1"/>
      <c r="R17" s="1"/>
      <c r="S17" s="1"/>
      <c r="T17" s="1"/>
      <c r="U17" s="1"/>
      <c r="V17" s="1"/>
    </row>
    <row r="18" spans="1:22">
      <c r="A18" s="3" t="s">
        <v>71</v>
      </c>
      <c r="B18" s="3">
        <v>230</v>
      </c>
      <c r="C18" s="3" t="s">
        <v>17</v>
      </c>
      <c r="D18" s="1"/>
      <c r="E18" s="3" t="s">
        <v>39</v>
      </c>
      <c r="F18" s="3">
        <f>(B7/(2*B8))*(1000*B25)*(1-SQRT(1-(4.598*F17)/(B7)))</f>
        <v>323.90684978680554</v>
      </c>
      <c r="G18" s="8" t="s">
        <v>41</v>
      </c>
      <c r="H18" s="12"/>
      <c r="I18" s="13"/>
      <c r="J18" s="11" t="s">
        <v>61</v>
      </c>
      <c r="K18" s="3">
        <v>8</v>
      </c>
      <c r="L18" s="3" t="s">
        <v>17</v>
      </c>
      <c r="M18" s="10"/>
      <c r="N18" s="10"/>
      <c r="O18" s="10"/>
      <c r="P18" s="1"/>
      <c r="Q18" s="1"/>
      <c r="R18" s="1"/>
      <c r="S18" s="1"/>
      <c r="T18" s="1"/>
      <c r="U18" s="1"/>
      <c r="V18" s="1"/>
    </row>
    <row r="19" spans="1:22">
      <c r="A19" s="3" t="s">
        <v>10</v>
      </c>
      <c r="B19" s="3">
        <f>B6/2</f>
        <v>1.75</v>
      </c>
      <c r="C19" s="3" t="s">
        <v>15</v>
      </c>
      <c r="D19" s="1"/>
      <c r="E19" s="3" t="s">
        <v>42</v>
      </c>
      <c r="F19" s="3">
        <f>3.14*0.25*B12*B12</f>
        <v>113.03999999999999</v>
      </c>
      <c r="G19" s="8" t="s">
        <v>41</v>
      </c>
      <c r="H19" s="12"/>
      <c r="I19" s="13"/>
      <c r="J19" s="11" t="s">
        <v>62</v>
      </c>
      <c r="K19" s="3">
        <f>0.25*3.14*K18*K18</f>
        <v>50.24</v>
      </c>
      <c r="L19" s="3" t="s">
        <v>41</v>
      </c>
      <c r="M19" s="10"/>
      <c r="N19" s="10"/>
      <c r="O19" s="10"/>
      <c r="P19" s="1"/>
      <c r="Q19" s="1"/>
      <c r="R19" s="1"/>
      <c r="S19" s="1"/>
      <c r="T19" s="1"/>
      <c r="U19" s="1"/>
      <c r="V19" s="1"/>
    </row>
    <row r="20" spans="1:22">
      <c r="A20" s="3" t="s">
        <v>9</v>
      </c>
      <c r="B20" s="3">
        <f>ROUNDUP(B19*1000/B9,-0.5)</f>
        <v>12</v>
      </c>
      <c r="C20" s="3"/>
      <c r="D20" s="1"/>
      <c r="E20" s="3" t="s">
        <v>43</v>
      </c>
      <c r="F20" s="3">
        <f>F19/F18*1000</f>
        <v>348.98922352028848</v>
      </c>
      <c r="G20" s="8"/>
      <c r="H20" s="14"/>
      <c r="I20" s="15"/>
      <c r="J20" s="3" t="s">
        <v>63</v>
      </c>
      <c r="K20" s="3">
        <f>K19/K17*1000</f>
        <v>422.89562289562292</v>
      </c>
      <c r="L20" s="3" t="s">
        <v>17</v>
      </c>
      <c r="M20" s="10"/>
      <c r="N20" s="10"/>
      <c r="O20" s="10"/>
      <c r="P20" s="1"/>
      <c r="Q20" s="1"/>
      <c r="R20" s="1"/>
      <c r="S20" s="1"/>
      <c r="T20" s="1"/>
      <c r="U20" s="1"/>
      <c r="V20" s="1"/>
    </row>
    <row r="21" spans="1:22">
      <c r="A21" s="3" t="s">
        <v>11</v>
      </c>
      <c r="B21" s="3">
        <f>B20-1</f>
        <v>11</v>
      </c>
      <c r="C21" s="3"/>
      <c r="D21" s="1"/>
      <c r="E21" s="6" t="s">
        <v>44</v>
      </c>
      <c r="F21" s="6">
        <f>B12</f>
        <v>12</v>
      </c>
      <c r="G21" s="7" t="s">
        <v>46</v>
      </c>
      <c r="H21" s="9">
        <f>ROUNDDOWN(F20,-2)</f>
        <v>300</v>
      </c>
      <c r="I21" s="6" t="s">
        <v>47</v>
      </c>
      <c r="J21" s="26" t="s">
        <v>72</v>
      </c>
      <c r="K21" s="6">
        <f>5*B25</f>
        <v>495</v>
      </c>
      <c r="L21" s="27"/>
      <c r="P21" s="1"/>
      <c r="Q21" s="1"/>
      <c r="R21" s="1"/>
      <c r="S21" s="1"/>
      <c r="T21" s="1"/>
      <c r="U21" s="1"/>
      <c r="V21" s="1"/>
    </row>
    <row r="22" spans="1:22">
      <c r="A22" s="1" t="s">
        <v>12</v>
      </c>
      <c r="B22" s="1"/>
      <c r="C22" s="1"/>
      <c r="D22" s="1"/>
      <c r="E22" s="1"/>
      <c r="F22" s="1"/>
      <c r="G22" s="1"/>
      <c r="H22" s="1"/>
      <c r="I22" s="1"/>
      <c r="J22" s="1"/>
      <c r="K22" s="9" t="s">
        <v>44</v>
      </c>
      <c r="L22" s="9">
        <f>K18</f>
        <v>8</v>
      </c>
      <c r="M22" s="7" t="s">
        <v>45</v>
      </c>
      <c r="N22" s="6">
        <f>MIN(K21,K20,200)</f>
        <v>200</v>
      </c>
      <c r="O22" s="6" t="s">
        <v>47</v>
      </c>
      <c r="P22" s="1"/>
      <c r="Q22" s="1"/>
      <c r="R22" s="1"/>
      <c r="S22" s="1"/>
      <c r="T22" s="1"/>
      <c r="U22" s="1"/>
      <c r="V22" s="1"/>
    </row>
    <row r="23" spans="1:22">
      <c r="A23" s="5" t="s">
        <v>13</v>
      </c>
      <c r="B23" s="3"/>
      <c r="C23" s="3"/>
      <c r="D23" s="1"/>
      <c r="E23" s="3" t="s">
        <v>48</v>
      </c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3" t="s">
        <v>14</v>
      </c>
      <c r="B24" s="3">
        <v>125</v>
      </c>
      <c r="C24" s="3" t="s">
        <v>17</v>
      </c>
      <c r="D24" s="1"/>
      <c r="E24" s="3" t="s">
        <v>49</v>
      </c>
      <c r="F24" s="3">
        <f>H21</f>
        <v>300</v>
      </c>
      <c r="G24" s="3"/>
      <c r="H24" s="1"/>
      <c r="I24" s="1"/>
      <c r="J24" s="5" t="s">
        <v>64</v>
      </c>
      <c r="K24" s="3"/>
      <c r="L24" s="3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3" t="s">
        <v>18</v>
      </c>
      <c r="B25" s="3">
        <f>B24-B13-B12/2</f>
        <v>99</v>
      </c>
      <c r="C25" s="3" t="s">
        <v>17</v>
      </c>
      <c r="D25" s="1"/>
      <c r="E25" s="3" t="s">
        <v>50</v>
      </c>
      <c r="F25" s="3">
        <f>F19/H21*1000</f>
        <v>376.79999999999995</v>
      </c>
      <c r="G25" s="3" t="s">
        <v>41</v>
      </c>
      <c r="H25" s="1"/>
      <c r="I25" s="1"/>
      <c r="J25" s="3" t="s">
        <v>65</v>
      </c>
      <c r="K25" s="3">
        <f>B12*0.87*B8/(4*1.5*1.6)</f>
        <v>543.74999999999989</v>
      </c>
      <c r="L25" s="3" t="s">
        <v>17</v>
      </c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/>
      <c r="B26" s="1"/>
      <c r="C26" s="1"/>
      <c r="D26" s="1"/>
      <c r="E26" s="1"/>
      <c r="F26" s="1"/>
      <c r="G26" s="1"/>
      <c r="H26" s="1"/>
      <c r="I26" s="1"/>
      <c r="J26" s="3" t="s">
        <v>66</v>
      </c>
      <c r="K26" s="3">
        <f>ROUNDUP(K25,-2)</f>
        <v>600</v>
      </c>
      <c r="L26" s="3" t="s">
        <v>17</v>
      </c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.75" thickBot="1">
      <c r="A27" s="5" t="s">
        <v>24</v>
      </c>
      <c r="B27" s="3"/>
      <c r="C27" s="3"/>
      <c r="D27" s="1"/>
      <c r="E27" s="3" t="s">
        <v>51</v>
      </c>
      <c r="F27" s="3">
        <f>0.58*F18/F25*B8</f>
        <v>249.29136528177708</v>
      </c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8" thickBot="1">
      <c r="A28" s="3" t="s">
        <v>25</v>
      </c>
      <c r="B28" s="3">
        <f>B24/1000*B17*(SQRT(B9^2+B10^2))/B10</f>
        <v>3.4938562148434213</v>
      </c>
      <c r="C28" s="3" t="s">
        <v>34</v>
      </c>
      <c r="D28" s="1"/>
      <c r="E28" s="3" t="s">
        <v>52</v>
      </c>
      <c r="F28" s="3">
        <f>F25/(1000*B25)*100</f>
        <v>0.38060606060606056</v>
      </c>
      <c r="G28" s="3" t="s">
        <v>53</v>
      </c>
      <c r="H28" s="1"/>
      <c r="I28" s="1"/>
      <c r="J28" s="30" t="s">
        <v>67</v>
      </c>
      <c r="K28" s="31"/>
      <c r="L28" s="32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.75">
      <c r="A29" s="3" t="s">
        <v>27</v>
      </c>
      <c r="B29" s="3">
        <f>B17*B9/2000</f>
        <v>1.875</v>
      </c>
      <c r="C29" s="3" t="s">
        <v>34</v>
      </c>
      <c r="D29" s="1"/>
      <c r="E29" s="3" t="s">
        <v>54</v>
      </c>
      <c r="F29" s="3"/>
      <c r="G29" s="3"/>
      <c r="H29" s="1"/>
      <c r="I29" s="1"/>
      <c r="J29" s="25" t="s">
        <v>73</v>
      </c>
      <c r="K29" s="18">
        <f>F4</f>
        <v>3.5300000000000002</v>
      </c>
      <c r="L29" s="19" t="s">
        <v>15</v>
      </c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.75">
      <c r="A30" s="3" t="s">
        <v>28</v>
      </c>
      <c r="B30" s="3">
        <v>2</v>
      </c>
      <c r="C30" s="3" t="s">
        <v>34</v>
      </c>
      <c r="D30" s="1"/>
      <c r="E30" s="3" t="s">
        <v>55</v>
      </c>
      <c r="F30" s="3">
        <v>1</v>
      </c>
      <c r="G30" s="3"/>
      <c r="H30" s="1"/>
      <c r="I30" s="1"/>
      <c r="J30" s="20" t="s">
        <v>2</v>
      </c>
      <c r="K30" s="17">
        <f>B5</f>
        <v>2.6</v>
      </c>
      <c r="L30" s="21" t="s">
        <v>15</v>
      </c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.75">
      <c r="A31" s="3" t="s">
        <v>29</v>
      </c>
      <c r="B31" s="3">
        <f>B14</f>
        <v>1</v>
      </c>
      <c r="C31" s="3" t="s">
        <v>34</v>
      </c>
      <c r="D31" s="1"/>
      <c r="E31" s="3" t="s">
        <v>56</v>
      </c>
      <c r="F31" s="3">
        <v>1.25</v>
      </c>
      <c r="G31" s="3"/>
      <c r="H31" s="1"/>
      <c r="I31" s="1"/>
      <c r="J31" s="20" t="s">
        <v>3</v>
      </c>
      <c r="K31" s="17">
        <f>B6</f>
        <v>3.5</v>
      </c>
      <c r="L31" s="21" t="s">
        <v>15</v>
      </c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5.75">
      <c r="A32" s="3" t="s">
        <v>30</v>
      </c>
      <c r="B32" s="3">
        <f>SUM(B28:B31)</f>
        <v>8.3688562148434222</v>
      </c>
      <c r="C32" s="3" t="s">
        <v>34</v>
      </c>
      <c r="D32" s="1"/>
      <c r="E32" s="3" t="s">
        <v>57</v>
      </c>
      <c r="F32" s="3">
        <v>20</v>
      </c>
      <c r="G32" s="3"/>
      <c r="H32" s="1"/>
      <c r="I32" s="1"/>
      <c r="J32" s="20" t="s">
        <v>68</v>
      </c>
      <c r="K32" s="17">
        <f>F25</f>
        <v>376.79999999999995</v>
      </c>
      <c r="L32" s="21" t="s">
        <v>41</v>
      </c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5.75">
      <c r="A33" s="3" t="s">
        <v>31</v>
      </c>
      <c r="B33" s="3">
        <f>B32*1.5</f>
        <v>12.553284322265133</v>
      </c>
      <c r="C33" s="3" t="s">
        <v>34</v>
      </c>
      <c r="D33" s="1"/>
      <c r="E33" s="3" t="s">
        <v>58</v>
      </c>
      <c r="F33" s="3">
        <f>F32*1.6*F31*F30</f>
        <v>40</v>
      </c>
      <c r="G33" s="3"/>
      <c r="H33" s="1"/>
      <c r="I33" s="1"/>
      <c r="J33" s="20" t="s">
        <v>70</v>
      </c>
      <c r="K33" s="17">
        <f>H21</f>
        <v>300</v>
      </c>
      <c r="L33" s="21" t="s">
        <v>17</v>
      </c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.75">
      <c r="A34" s="1"/>
      <c r="B34" s="1"/>
      <c r="C34" s="1"/>
      <c r="D34" s="1"/>
      <c r="E34" s="16" t="str">
        <f>IF(F33&lt;F4*1000/B25,"not Okay","Okay")</f>
        <v>Okay</v>
      </c>
      <c r="F34" s="3"/>
      <c r="G34" s="3"/>
      <c r="H34" s="1"/>
      <c r="I34" s="1"/>
      <c r="J34" s="20" t="s">
        <v>69</v>
      </c>
      <c r="K34" s="17">
        <f>K17</f>
        <v>118.8</v>
      </c>
      <c r="L34" s="21" t="s">
        <v>41</v>
      </c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6.5" thickBot="1">
      <c r="A35" s="1"/>
      <c r="B35" s="1"/>
      <c r="C35" s="1"/>
      <c r="D35" s="1"/>
      <c r="E35" s="1"/>
      <c r="F35" s="1"/>
      <c r="G35" s="1"/>
      <c r="H35" s="1"/>
      <c r="I35" s="1"/>
      <c r="J35" s="22" t="s">
        <v>70</v>
      </c>
      <c r="K35" s="23">
        <f>N22</f>
        <v>200</v>
      </c>
      <c r="L35" s="24" t="s">
        <v>17</v>
      </c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mergeCells count="2">
    <mergeCell ref="A1:O1"/>
    <mergeCell ref="J28:L28"/>
  </mergeCells>
  <hyperlinks>
    <hyperlink ref="G21" r:id="rId1" display="mm@"/>
    <hyperlink ref="M22" r:id="rId2"/>
  </hyperlinks>
  <pageMargins left="0.7" right="0.7" top="0.75" bottom="0.75" header="0.3" footer="0.3"/>
  <pageSetup paperSize="9" orientation="portrait" horizontalDpi="300" verticalDpi="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>
      <selection activeCell="K24" sqref="K24"/>
    </sheetView>
  </sheetViews>
  <sheetFormatPr defaultRowHeight="15"/>
  <cols>
    <col min="1" max="1" width="30.5703125" bestFit="1" customWidth="1"/>
    <col min="2" max="2" width="12" bestFit="1" customWidth="1"/>
    <col min="3" max="3" width="8.5703125" bestFit="1" customWidth="1"/>
    <col min="5" max="5" width="27.5703125" bestFit="1" customWidth="1"/>
    <col min="6" max="6" width="12" bestFit="1" customWidth="1"/>
    <col min="7" max="7" width="8.140625" bestFit="1" customWidth="1"/>
    <col min="8" max="8" width="5" bestFit="1" customWidth="1"/>
    <col min="10" max="10" width="21.85546875" bestFit="1" customWidth="1"/>
    <col min="11" max="11" width="12" bestFit="1" customWidth="1"/>
    <col min="12" max="12" width="7.28515625" bestFit="1" customWidth="1"/>
  </cols>
  <sheetData>
    <row r="1" spans="1:17">
      <c r="A1" s="2" t="s">
        <v>1</v>
      </c>
      <c r="B1" s="3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3"/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3"/>
      <c r="B3" s="3"/>
      <c r="C3" s="3"/>
      <c r="D3" s="1"/>
      <c r="E3" s="4" t="s">
        <v>36</v>
      </c>
      <c r="F3" s="3">
        <f>(B9*B20+B17)*10^-3</f>
        <v>4.13</v>
      </c>
      <c r="G3" s="3" t="s">
        <v>15</v>
      </c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3" t="s">
        <v>2</v>
      </c>
      <c r="B4" s="3">
        <v>2.6</v>
      </c>
      <c r="C4" s="3" t="s">
        <v>15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3" t="s">
        <v>3</v>
      </c>
      <c r="B5" s="3">
        <v>3.5</v>
      </c>
      <c r="C5" s="3" t="s">
        <v>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3" t="s">
        <v>4</v>
      </c>
      <c r="B6" s="3">
        <v>25</v>
      </c>
      <c r="C6" s="3" t="s">
        <v>16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3" t="s">
        <v>5</v>
      </c>
      <c r="B7" s="3">
        <v>500</v>
      </c>
      <c r="C7" s="3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3" t="s">
        <v>6</v>
      </c>
      <c r="B8" s="3">
        <v>125</v>
      </c>
      <c r="C8" s="3" t="s">
        <v>17</v>
      </c>
      <c r="D8" s="1"/>
      <c r="E8" s="3" t="s">
        <v>32</v>
      </c>
      <c r="F8" s="3"/>
      <c r="G8" s="3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>
      <c r="A9" s="3" t="s">
        <v>7</v>
      </c>
      <c r="B9" s="3">
        <v>300</v>
      </c>
      <c r="C9" s="3" t="s">
        <v>17</v>
      </c>
      <c r="D9" s="1"/>
      <c r="E9" s="3" t="s">
        <v>33</v>
      </c>
      <c r="F9" s="3">
        <f>B36</f>
        <v>21.934374999999996</v>
      </c>
      <c r="G9" s="3" t="s">
        <v>34</v>
      </c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3" t="s">
        <v>8</v>
      </c>
      <c r="B10" s="3">
        <v>1200</v>
      </c>
      <c r="C10" s="3" t="s">
        <v>17</v>
      </c>
      <c r="D10" s="1"/>
      <c r="E10" s="3" t="s">
        <v>35</v>
      </c>
      <c r="F10" s="3">
        <f>F9*F3*F3/12</f>
        <v>31.177703411458324</v>
      </c>
      <c r="G10" s="3" t="s">
        <v>37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3" t="s">
        <v>19</v>
      </c>
      <c r="B11" s="3">
        <v>12</v>
      </c>
      <c r="C11" s="3" t="s">
        <v>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3" t="s">
        <v>20</v>
      </c>
      <c r="B12" s="3">
        <v>20</v>
      </c>
      <c r="C12" s="3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3" t="s">
        <v>21</v>
      </c>
      <c r="B13" s="3">
        <v>0.6</v>
      </c>
      <c r="C13" s="3" t="s">
        <v>23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3" t="s">
        <v>22</v>
      </c>
      <c r="B14" s="3">
        <v>3</v>
      </c>
      <c r="C14" s="3" t="s">
        <v>23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3"/>
      <c r="B15" s="3"/>
      <c r="C15" s="3"/>
      <c r="D15" s="1"/>
      <c r="E15" s="5" t="s">
        <v>38</v>
      </c>
      <c r="F15" s="8"/>
      <c r="G15" s="3"/>
      <c r="H15" s="10"/>
      <c r="I15" s="10"/>
      <c r="J15" s="5" t="s">
        <v>59</v>
      </c>
      <c r="K15" s="11"/>
      <c r="L15" s="3"/>
      <c r="M15" s="10"/>
      <c r="N15" s="10"/>
      <c r="O15" s="10"/>
      <c r="P15" s="1"/>
      <c r="Q15" s="1"/>
    </row>
    <row r="16" spans="1:17">
      <c r="A16" s="3" t="s">
        <v>26</v>
      </c>
      <c r="B16" s="3">
        <v>25</v>
      </c>
      <c r="C16" s="3"/>
      <c r="D16" s="1"/>
      <c r="E16" s="3" t="s">
        <v>40</v>
      </c>
      <c r="F16" s="3">
        <f>F10*10^6/(1000*B24^2)</f>
        <v>3.1810737079337135</v>
      </c>
      <c r="G16" s="8" t="s">
        <v>16</v>
      </c>
      <c r="H16" s="12"/>
      <c r="I16" s="13"/>
      <c r="J16" s="11" t="s">
        <v>60</v>
      </c>
      <c r="K16" s="3">
        <f>0.12/100*1000*B24</f>
        <v>118.8</v>
      </c>
      <c r="L16" s="3" t="s">
        <v>41</v>
      </c>
      <c r="M16" s="10"/>
      <c r="N16" s="10"/>
      <c r="O16" s="10"/>
      <c r="P16" s="1"/>
      <c r="Q16" s="1"/>
    </row>
    <row r="17" spans="1:17">
      <c r="A17" s="3" t="s">
        <v>71</v>
      </c>
      <c r="B17" s="3">
        <v>230</v>
      </c>
      <c r="C17" s="3" t="s">
        <v>17</v>
      </c>
      <c r="D17" s="1"/>
      <c r="E17" s="3" t="s">
        <v>39</v>
      </c>
      <c r="F17" s="3">
        <f>(B6/(2*B7))*(1000*B24)*(1-SQRT(1-(4.598*F16)/(B6)))</f>
        <v>880.71395513450432</v>
      </c>
      <c r="G17" s="8" t="s">
        <v>41</v>
      </c>
      <c r="H17" s="12"/>
      <c r="I17" s="13"/>
      <c r="J17" s="11" t="s">
        <v>61</v>
      </c>
      <c r="K17" s="3">
        <v>8</v>
      </c>
      <c r="L17" s="3" t="s">
        <v>17</v>
      </c>
      <c r="M17" s="10"/>
      <c r="N17" s="10"/>
      <c r="O17" s="10"/>
      <c r="P17" s="1"/>
      <c r="Q17" s="1"/>
    </row>
    <row r="18" spans="1:17">
      <c r="A18" s="3" t="s">
        <v>10</v>
      </c>
      <c r="B18" s="3">
        <f>B5/2</f>
        <v>1.75</v>
      </c>
      <c r="C18" s="3" t="s">
        <v>15</v>
      </c>
      <c r="D18" s="1"/>
      <c r="E18" s="3" t="s">
        <v>42</v>
      </c>
      <c r="F18" s="3">
        <f>3.14*0.25*B11*B11</f>
        <v>113.03999999999999</v>
      </c>
      <c r="G18" s="8" t="s">
        <v>41</v>
      </c>
      <c r="H18" s="12"/>
      <c r="I18" s="13"/>
      <c r="J18" s="11" t="s">
        <v>62</v>
      </c>
      <c r="K18" s="3">
        <f>0.25*3.14*K17*K17</f>
        <v>50.24</v>
      </c>
      <c r="L18" s="3" t="s">
        <v>41</v>
      </c>
      <c r="M18" s="10"/>
      <c r="N18" s="10"/>
      <c r="O18" s="10"/>
      <c r="P18" s="1"/>
      <c r="Q18" s="1"/>
    </row>
    <row r="19" spans="1:17">
      <c r="A19" s="3" t="s">
        <v>9</v>
      </c>
      <c r="B19" s="3">
        <f>ROUNDUP(B18*1000/B8,-0.5)</f>
        <v>14</v>
      </c>
      <c r="C19" s="3"/>
      <c r="D19" s="1"/>
      <c r="E19" s="3" t="s">
        <v>43</v>
      </c>
      <c r="F19" s="3">
        <f>F18/F17*1000</f>
        <v>128.3504131403667</v>
      </c>
      <c r="G19" s="8"/>
      <c r="H19" s="14"/>
      <c r="I19" s="15"/>
      <c r="J19" s="3" t="s">
        <v>63</v>
      </c>
      <c r="K19" s="3">
        <f>K18/K16*1000</f>
        <v>422.89562289562292</v>
      </c>
      <c r="L19" s="3" t="s">
        <v>17</v>
      </c>
      <c r="M19" s="10"/>
      <c r="N19" s="10"/>
      <c r="O19" s="10"/>
      <c r="P19" s="1"/>
      <c r="Q19" s="1"/>
    </row>
    <row r="20" spans="1:17">
      <c r="A20" s="3" t="s">
        <v>11</v>
      </c>
      <c r="B20" s="3">
        <f>B19-1</f>
        <v>13</v>
      </c>
      <c r="C20" s="3"/>
      <c r="D20" s="1"/>
      <c r="E20" s="6" t="s">
        <v>44</v>
      </c>
      <c r="F20" s="6">
        <f>B11</f>
        <v>12</v>
      </c>
      <c r="G20" s="7" t="s">
        <v>46</v>
      </c>
      <c r="H20" s="9">
        <f>FLOOR(F19,25)</f>
        <v>125</v>
      </c>
      <c r="I20" s="6" t="s">
        <v>47</v>
      </c>
      <c r="J20" s="26" t="s">
        <v>72</v>
      </c>
      <c r="K20" s="28">
        <f>5*B24</f>
        <v>495</v>
      </c>
      <c r="L20" s="27" t="s">
        <v>17</v>
      </c>
      <c r="P20" s="1"/>
      <c r="Q20" s="1"/>
    </row>
    <row r="21" spans="1:17">
      <c r="A21" s="1" t="s">
        <v>12</v>
      </c>
      <c r="B21" s="1"/>
      <c r="C21" s="1"/>
      <c r="D21" s="1"/>
      <c r="E21" s="1"/>
      <c r="F21" s="1"/>
      <c r="G21" s="1"/>
      <c r="H21" s="1"/>
      <c r="I21" s="1"/>
      <c r="J21" s="1"/>
      <c r="K21" s="9" t="s">
        <v>44</v>
      </c>
      <c r="L21" s="9">
        <f>K17</f>
        <v>8</v>
      </c>
      <c r="M21" s="7" t="s">
        <v>45</v>
      </c>
      <c r="N21" s="6">
        <f>MIN(K20,K19,200)</f>
        <v>200</v>
      </c>
      <c r="O21" s="6" t="s">
        <v>47</v>
      </c>
      <c r="P21" s="1"/>
      <c r="Q21" s="1"/>
    </row>
    <row r="22" spans="1:17">
      <c r="A22" s="5" t="s">
        <v>13</v>
      </c>
      <c r="B22" s="3"/>
      <c r="C22" s="3"/>
      <c r="D22" s="1"/>
      <c r="E22" s="3" t="s">
        <v>48</v>
      </c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3" t="s">
        <v>14</v>
      </c>
      <c r="B23" s="3">
        <v>125</v>
      </c>
      <c r="C23" s="3" t="s">
        <v>17</v>
      </c>
      <c r="D23" s="1"/>
      <c r="E23" s="3" t="s">
        <v>49</v>
      </c>
      <c r="F23" s="3">
        <f>H20</f>
        <v>125</v>
      </c>
      <c r="G23" s="3"/>
      <c r="H23" s="1"/>
      <c r="I23" s="1"/>
      <c r="J23" s="5" t="s">
        <v>64</v>
      </c>
      <c r="K23" s="3"/>
      <c r="L23" s="3"/>
      <c r="M23" s="1"/>
      <c r="N23" s="1"/>
      <c r="O23" s="1"/>
      <c r="P23" s="1"/>
      <c r="Q23" s="1"/>
    </row>
    <row r="24" spans="1:17">
      <c r="A24" s="3" t="s">
        <v>18</v>
      </c>
      <c r="B24" s="3">
        <f>B23-B12-B11/2</f>
        <v>99</v>
      </c>
      <c r="C24" s="3" t="s">
        <v>17</v>
      </c>
      <c r="D24" s="1"/>
      <c r="E24" s="3" t="s">
        <v>50</v>
      </c>
      <c r="F24" s="3">
        <f>F18/H20*1000</f>
        <v>904.31999999999994</v>
      </c>
      <c r="G24" s="3" t="s">
        <v>41</v>
      </c>
      <c r="H24" s="1"/>
      <c r="I24" s="1"/>
      <c r="J24" s="3" t="s">
        <v>65</v>
      </c>
      <c r="K24" s="3">
        <f>B11*0.87*B7/(4*1.5*1.6)</f>
        <v>543.74999999999989</v>
      </c>
      <c r="L24" s="3" t="s">
        <v>17</v>
      </c>
      <c r="M24" s="1"/>
      <c r="N24" s="1"/>
      <c r="O24" s="1"/>
      <c r="P24" s="1"/>
      <c r="Q24" s="1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3" t="s">
        <v>66</v>
      </c>
      <c r="K25" s="3">
        <f>ROUNDUP(K24,-2)</f>
        <v>600</v>
      </c>
      <c r="L25" s="3" t="s">
        <v>17</v>
      </c>
      <c r="M25" s="1"/>
      <c r="N25" s="1"/>
      <c r="O25" s="1"/>
      <c r="P25" s="1"/>
      <c r="Q25" s="1"/>
    </row>
    <row r="26" spans="1:17" ht="15.75" thickBot="1">
      <c r="A26" s="5" t="s">
        <v>24</v>
      </c>
      <c r="B26" s="3"/>
      <c r="C26" s="3"/>
      <c r="D26" s="1"/>
      <c r="E26" s="3" t="s">
        <v>51</v>
      </c>
      <c r="F26" s="3">
        <f>0.58*F17/F24*B7</f>
        <v>282.42994403419834</v>
      </c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8" thickBot="1">
      <c r="A27" s="3" t="s">
        <v>25</v>
      </c>
      <c r="B27" s="3">
        <f>B23/1000*B16*(SQRT(B8^2+B9^2))/B9</f>
        <v>3.3854166666666665</v>
      </c>
      <c r="C27" s="3" t="s">
        <v>34</v>
      </c>
      <c r="D27" s="1"/>
      <c r="E27" s="3" t="s">
        <v>52</v>
      </c>
      <c r="F27" s="3">
        <f>F24/(1000*B24)*100</f>
        <v>0.91345454545454541</v>
      </c>
      <c r="G27" s="3" t="s">
        <v>53</v>
      </c>
      <c r="H27" s="1"/>
      <c r="I27" s="1"/>
      <c r="J27" s="30" t="s">
        <v>67</v>
      </c>
      <c r="K27" s="31"/>
      <c r="L27" s="32"/>
      <c r="M27" s="1"/>
      <c r="N27" s="1"/>
      <c r="O27" s="1"/>
      <c r="P27" s="1"/>
      <c r="Q27" s="1"/>
    </row>
    <row r="28" spans="1:17" ht="15.75">
      <c r="A28" s="3" t="s">
        <v>27</v>
      </c>
      <c r="B28" s="3">
        <f>B16*B8/2000</f>
        <v>1.5625</v>
      </c>
      <c r="C28" s="3" t="s">
        <v>34</v>
      </c>
      <c r="D28" s="1"/>
      <c r="E28" s="3" t="s">
        <v>54</v>
      </c>
      <c r="F28" s="3"/>
      <c r="G28" s="3"/>
      <c r="H28" s="1"/>
      <c r="I28" s="1"/>
      <c r="J28" s="25" t="s">
        <v>73</v>
      </c>
      <c r="K28" s="18">
        <f>F3</f>
        <v>4.13</v>
      </c>
      <c r="L28" s="19" t="s">
        <v>15</v>
      </c>
      <c r="M28" s="1"/>
      <c r="N28" s="1"/>
      <c r="O28" s="1"/>
      <c r="P28" s="1"/>
      <c r="Q28" s="1"/>
    </row>
    <row r="29" spans="1:17" ht="15.75">
      <c r="A29" s="3" t="s">
        <v>28</v>
      </c>
      <c r="B29" s="3">
        <f>B14</f>
        <v>3</v>
      </c>
      <c r="C29" s="3" t="s">
        <v>34</v>
      </c>
      <c r="D29" s="1"/>
      <c r="E29" s="3" t="s">
        <v>55</v>
      </c>
      <c r="F29" s="3">
        <v>1</v>
      </c>
      <c r="G29" s="3"/>
      <c r="H29" s="1"/>
      <c r="I29" s="1"/>
      <c r="J29" s="20" t="s">
        <v>2</v>
      </c>
      <c r="K29" s="17">
        <f>B4</f>
        <v>2.6</v>
      </c>
      <c r="L29" s="21" t="s">
        <v>15</v>
      </c>
      <c r="M29" s="1"/>
      <c r="N29" s="1"/>
      <c r="O29" s="1"/>
      <c r="P29" s="1"/>
      <c r="Q29" s="1"/>
    </row>
    <row r="30" spans="1:17" ht="15.75">
      <c r="A30" s="3" t="s">
        <v>29</v>
      </c>
      <c r="B30" s="3">
        <f>B13</f>
        <v>0.6</v>
      </c>
      <c r="C30" s="3" t="s">
        <v>34</v>
      </c>
      <c r="D30" s="1"/>
      <c r="E30" s="3" t="s">
        <v>56</v>
      </c>
      <c r="F30" s="3">
        <v>1.25</v>
      </c>
      <c r="G30" s="3"/>
      <c r="H30" s="1"/>
      <c r="I30" s="1"/>
      <c r="J30" s="20" t="s">
        <v>3</v>
      </c>
      <c r="K30" s="17">
        <f>B5</f>
        <v>3.5</v>
      </c>
      <c r="L30" s="21" t="s">
        <v>15</v>
      </c>
      <c r="M30" s="1"/>
      <c r="N30" s="1"/>
      <c r="O30" s="1"/>
      <c r="P30" s="1"/>
      <c r="Q30" s="1"/>
    </row>
    <row r="31" spans="1:17" ht="15.75">
      <c r="D31" s="1"/>
      <c r="E31" s="3" t="s">
        <v>57</v>
      </c>
      <c r="F31" s="3">
        <v>20</v>
      </c>
      <c r="G31" s="3"/>
      <c r="H31" s="1"/>
      <c r="I31" s="1"/>
      <c r="J31" s="20" t="s">
        <v>68</v>
      </c>
      <c r="K31" s="17">
        <f>F24</f>
        <v>904.31999999999994</v>
      </c>
      <c r="L31" s="21" t="s">
        <v>41</v>
      </c>
      <c r="M31" s="1"/>
      <c r="N31" s="1"/>
      <c r="O31" s="1"/>
      <c r="P31" s="1"/>
      <c r="Q31" s="1"/>
    </row>
    <row r="32" spans="1:17" ht="15.75">
      <c r="D32" s="1"/>
      <c r="E32" s="3" t="s">
        <v>58</v>
      </c>
      <c r="F32" s="3">
        <f>F31*1.6*F30*F29</f>
        <v>40</v>
      </c>
      <c r="G32" s="3"/>
      <c r="H32" s="1"/>
      <c r="I32" s="1"/>
      <c r="J32" s="20" t="s">
        <v>70</v>
      </c>
      <c r="K32" s="17">
        <f>H20</f>
        <v>125</v>
      </c>
      <c r="L32" s="21" t="s">
        <v>17</v>
      </c>
      <c r="M32" s="1"/>
      <c r="N32" s="1"/>
      <c r="O32" s="1"/>
      <c r="P32" s="1"/>
      <c r="Q32" s="1"/>
    </row>
    <row r="33" spans="1:17" ht="15.75">
      <c r="A33" s="1"/>
      <c r="B33" s="1"/>
      <c r="C33" s="1"/>
      <c r="D33" s="1"/>
      <c r="E33" s="16" t="str">
        <f>IF(F32&lt;F3*1000/B24,"not Okay","Okay")</f>
        <v>not Okay</v>
      </c>
      <c r="F33" s="3"/>
      <c r="G33" s="3"/>
      <c r="H33" s="1"/>
      <c r="I33" s="1"/>
      <c r="J33" s="20" t="s">
        <v>69</v>
      </c>
      <c r="K33" s="17">
        <f>K16</f>
        <v>118.8</v>
      </c>
      <c r="L33" s="21" t="s">
        <v>41</v>
      </c>
      <c r="M33" s="1"/>
      <c r="N33" s="1"/>
      <c r="O33" s="1"/>
      <c r="P33" s="1"/>
      <c r="Q33" s="1"/>
    </row>
    <row r="34" spans="1:17" ht="16.5" thickBot="1">
      <c r="A34" s="1" t="s">
        <v>74</v>
      </c>
      <c r="B34" s="1">
        <f>B16*B24/1000*1</f>
        <v>2.4750000000000001</v>
      </c>
      <c r="C34" s="3" t="s">
        <v>34</v>
      </c>
      <c r="D34" s="1"/>
      <c r="E34" s="1"/>
      <c r="F34" s="1"/>
      <c r="G34" s="1"/>
      <c r="H34" s="1"/>
      <c r="I34" s="1"/>
      <c r="J34" s="22" t="s">
        <v>70</v>
      </c>
      <c r="K34" s="23">
        <f>N21</f>
        <v>200</v>
      </c>
      <c r="L34" s="24" t="s">
        <v>17</v>
      </c>
      <c r="M34" s="1"/>
      <c r="N34" s="1"/>
      <c r="O34" s="1"/>
      <c r="P34" s="1"/>
      <c r="Q34" s="1"/>
    </row>
    <row r="35" spans="1:17">
      <c r="A35" s="3" t="s">
        <v>30</v>
      </c>
      <c r="B35" s="3">
        <f>SUM(B27+B28+B29*2+B30*2+B34)</f>
        <v>14.622916666666665</v>
      </c>
      <c r="C35" s="3" t="s">
        <v>34</v>
      </c>
    </row>
    <row r="36" spans="1:17">
      <c r="A36" s="3" t="s">
        <v>31</v>
      </c>
      <c r="B36" s="3">
        <f>B35*1.5</f>
        <v>21.934374999999996</v>
      </c>
      <c r="C36" s="3" t="s">
        <v>34</v>
      </c>
    </row>
  </sheetData>
  <mergeCells count="1">
    <mergeCell ref="J27:L27"/>
  </mergeCells>
  <hyperlinks>
    <hyperlink ref="G20" r:id="rId1" display="mm@"/>
    <hyperlink ref="M21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 LAB</dc:creator>
  <cp:lastModifiedBy>CAD LAB</cp:lastModifiedBy>
  <dcterms:created xsi:type="dcterms:W3CDTF">2025-08-28T09:27:20Z</dcterms:created>
  <dcterms:modified xsi:type="dcterms:W3CDTF">2025-09-04T09:20:20Z</dcterms:modified>
</cp:coreProperties>
</file>