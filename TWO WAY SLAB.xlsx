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13" i="1"/>
  <c r="K12"/>
  <c r="K11"/>
  <c r="G2"/>
  <c r="F16"/>
  <c r="K2"/>
  <c r="B24"/>
  <c r="B16"/>
  <c r="B15"/>
  <c r="B26"/>
  <c r="B25"/>
  <c r="B11"/>
  <c r="B10"/>
  <c r="B27" l="1"/>
  <c r="B28" s="1"/>
  <c r="B19"/>
  <c r="B20"/>
  <c r="I2" l="1"/>
  <c r="H7" s="1"/>
  <c r="I7" s="1"/>
  <c r="J7" s="1"/>
  <c r="K7" s="1"/>
  <c r="F17"/>
  <c r="F18" s="1"/>
  <c r="B21"/>
  <c r="A22" s="1"/>
  <c r="H6" l="1"/>
  <c r="I6" s="1"/>
  <c r="J6" s="1"/>
  <c r="K6" s="1"/>
  <c r="H4"/>
  <c r="I4" s="1"/>
  <c r="J4" s="1"/>
  <c r="K4" s="1"/>
  <c r="H5"/>
  <c r="I5" s="1"/>
  <c r="F10" s="1"/>
  <c r="J5" l="1"/>
  <c r="K5" s="1"/>
  <c r="F11" s="1"/>
  <c r="F12" s="1"/>
  <c r="F13" l="1"/>
  <c r="K14" s="1"/>
  <c r="F22"/>
  <c r="F23"/>
  <c r="H22" l="1"/>
  <c r="I22" s="1"/>
  <c r="K17" s="1"/>
  <c r="K15"/>
  <c r="H23"/>
  <c r="I23" s="1"/>
  <c r="K18" s="1"/>
  <c r="K16"/>
</calcChain>
</file>

<file path=xl/sharedStrings.xml><?xml version="1.0" encoding="utf-8"?>
<sst xmlns="http://schemas.openxmlformats.org/spreadsheetml/2006/main" count="104" uniqueCount="72">
  <si>
    <t>DESIGN OF TWO WAY SLAB</t>
  </si>
  <si>
    <t>INPUT DATA</t>
  </si>
  <si>
    <t>LENGTH OF SHORT SPAN</t>
  </si>
  <si>
    <t>LENGTH OF LONG SPAN</t>
  </si>
  <si>
    <t>WIDTH OF SUPPORTS</t>
  </si>
  <si>
    <t>CLEAR COVER TO MAIN REINFORCEMENT</t>
  </si>
  <si>
    <t>DIA OF REFT</t>
  </si>
  <si>
    <t xml:space="preserve">FCK </t>
  </si>
  <si>
    <t>Fy</t>
  </si>
  <si>
    <t>c/c LENGTH OF SHORT SPAN (Lx)</t>
  </si>
  <si>
    <t>m</t>
  </si>
  <si>
    <t>mm</t>
  </si>
  <si>
    <t>N/sqmm</t>
  </si>
  <si>
    <t>c/c LENGTH OF LONG SPAN (Ly)</t>
  </si>
  <si>
    <t>Total depth of slab (pro)</t>
  </si>
  <si>
    <t>Effective Depth of slab (pro)</t>
  </si>
  <si>
    <t>Effective Span</t>
  </si>
  <si>
    <t>lx</t>
  </si>
  <si>
    <t>ly</t>
  </si>
  <si>
    <t>Hence (ly/lx)</t>
  </si>
  <si>
    <t>Load Calculations</t>
  </si>
  <si>
    <t xml:space="preserve">Dead Load of slab </t>
  </si>
  <si>
    <t xml:space="preserve">finish Load </t>
  </si>
  <si>
    <t>Live Load</t>
  </si>
  <si>
    <t xml:space="preserve">FLOOR finish Load </t>
  </si>
  <si>
    <t>total Load</t>
  </si>
  <si>
    <t>Ultimate Load</t>
  </si>
  <si>
    <t>KN/Sqmm</t>
  </si>
  <si>
    <t>Condition</t>
  </si>
  <si>
    <t>One Short edge Continuous</t>
  </si>
  <si>
    <t>Coefficients of Moment</t>
  </si>
  <si>
    <t>x(-)</t>
  </si>
  <si>
    <t>x(+)</t>
  </si>
  <si>
    <t>y(-)</t>
  </si>
  <si>
    <t>y(+)</t>
  </si>
  <si>
    <t>Mx-</t>
  </si>
  <si>
    <t>Mx+</t>
  </si>
  <si>
    <t>My-</t>
  </si>
  <si>
    <t>My+</t>
  </si>
  <si>
    <t>Ast</t>
  </si>
  <si>
    <t>S</t>
  </si>
  <si>
    <t>S pro(mm)</t>
  </si>
  <si>
    <t xml:space="preserve">CHOOSING MAX STEEL </t>
  </si>
  <si>
    <t>Sqmm</t>
  </si>
  <si>
    <t>AST (+) req</t>
  </si>
  <si>
    <t>AST (+) pro</t>
  </si>
  <si>
    <t>Fs</t>
  </si>
  <si>
    <t>Pt Pro(%)</t>
  </si>
  <si>
    <t>%</t>
  </si>
  <si>
    <t>kt</t>
  </si>
  <si>
    <t>kc</t>
  </si>
  <si>
    <t>l/d req</t>
  </si>
  <si>
    <t>l/d Pro</t>
  </si>
  <si>
    <t xml:space="preserve">CHECK </t>
  </si>
  <si>
    <t>TORSION REFT</t>
  </si>
  <si>
    <t>STEEL PROVISION</t>
  </si>
  <si>
    <t xml:space="preserve">at one discon &amp; con edge </t>
  </si>
  <si>
    <t>at discon edge</t>
  </si>
  <si>
    <t>Area</t>
  </si>
  <si>
    <t>no's bars</t>
  </si>
  <si>
    <t>dia 8mm</t>
  </si>
  <si>
    <t>s(mm)</t>
  </si>
  <si>
    <t>moments</t>
  </si>
  <si>
    <t>UL =</t>
  </si>
  <si>
    <t>lx=</t>
  </si>
  <si>
    <t>area(8mm)</t>
  </si>
  <si>
    <t>coeff</t>
  </si>
  <si>
    <t>N/Sqmm</t>
  </si>
  <si>
    <t>Summary</t>
  </si>
  <si>
    <t>depth of slab</t>
  </si>
  <si>
    <t>pt(%)</t>
  </si>
  <si>
    <t>torsion reft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</si>
</sst>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1377460</xdr:colOff>
      <xdr:row>40</xdr:row>
      <xdr:rowOff>95250</xdr:rowOff>
    </xdr:from>
    <xdr:to>
      <xdr:col>0</xdr:col>
      <xdr:colOff>2359268</xdr:colOff>
      <xdr:row>45</xdr:row>
      <xdr:rowOff>80596</xdr:rowOff>
    </xdr:to>
    <xdr:cxnSp macro="">
      <xdr:nvCxnSpPr>
        <xdr:cNvPr id="3" name="Straight Arrow Connector 2"/>
        <xdr:cNvCxnSpPr/>
      </xdr:nvCxnSpPr>
      <xdr:spPr>
        <a:xfrm>
          <a:off x="1377460" y="7751885"/>
          <a:ext cx="981808" cy="9378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showGridLines="0" tabSelected="1" zoomScale="130" zoomScaleNormal="130" workbookViewId="0">
      <selection activeCell="N13" sqref="N13"/>
    </sheetView>
  </sheetViews>
  <sheetFormatPr defaultRowHeight="15"/>
  <cols>
    <col min="1" max="1" width="45.140625" style="1" bestFit="1" customWidth="1"/>
    <col min="2" max="2" width="9.140625" style="1"/>
    <col min="3" max="3" width="10" style="1" bestFit="1" customWidth="1"/>
    <col min="4" max="4" width="9.140625" style="1"/>
    <col min="5" max="5" width="25.85546875" style="1" bestFit="1" customWidth="1"/>
    <col min="6" max="9" width="9.140625" style="1"/>
    <col min="10" max="10" width="12" style="1" bestFit="1" customWidth="1"/>
    <col min="11" max="11" width="14.140625" style="1" bestFit="1" customWidth="1"/>
    <col min="12" max="16384" width="9.140625" style="1"/>
  </cols>
  <sheetData>
    <row r="1" spans="1:16" ht="15.75" thickBo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  <c r="M1" s="2"/>
      <c r="N1" s="2"/>
      <c r="O1" s="2"/>
      <c r="P1" s="2"/>
    </row>
    <row r="2" spans="1:16" ht="15.75" thickBot="1">
      <c r="A2" s="13" t="s">
        <v>1</v>
      </c>
      <c r="B2" s="14"/>
      <c r="C2" s="4"/>
      <c r="D2" s="15" t="s">
        <v>28</v>
      </c>
      <c r="E2" s="16" t="s">
        <v>29</v>
      </c>
      <c r="F2" s="4" t="s">
        <v>63</v>
      </c>
      <c r="G2" s="14">
        <f>B28</f>
        <v>20.625</v>
      </c>
      <c r="H2" s="4" t="s">
        <v>64</v>
      </c>
      <c r="I2" s="14">
        <f>B19</f>
        <v>4.3250000000000002</v>
      </c>
      <c r="J2" s="1" t="s">
        <v>65</v>
      </c>
      <c r="K2" s="4">
        <f>3.14*0.25*8*8</f>
        <v>50.24</v>
      </c>
      <c r="L2" s="5"/>
    </row>
    <row r="3" spans="1:16">
      <c r="A3" s="10" t="s">
        <v>2</v>
      </c>
      <c r="B3" s="10">
        <v>4.2</v>
      </c>
      <c r="C3" s="10" t="s">
        <v>10</v>
      </c>
      <c r="D3" s="4"/>
      <c r="E3" s="9" t="s">
        <v>30</v>
      </c>
      <c r="F3" s="11" t="s">
        <v>66</v>
      </c>
      <c r="G3" s="28"/>
      <c r="H3" s="11" t="s">
        <v>62</v>
      </c>
      <c r="I3" s="11" t="s">
        <v>39</v>
      </c>
      <c r="J3" s="11" t="s">
        <v>40</v>
      </c>
      <c r="K3" s="11" t="s">
        <v>41</v>
      </c>
      <c r="L3" s="5"/>
    </row>
    <row r="4" spans="1:16">
      <c r="A4" s="10" t="s">
        <v>3</v>
      </c>
      <c r="B4" s="10">
        <v>6.3</v>
      </c>
      <c r="C4" s="10" t="s">
        <v>10</v>
      </c>
      <c r="D4" s="4"/>
      <c r="E4" s="10" t="s">
        <v>31</v>
      </c>
      <c r="F4" s="10">
        <v>0</v>
      </c>
      <c r="G4" s="10" t="s">
        <v>35</v>
      </c>
      <c r="H4" s="10">
        <f>F4*G2*I2^2</f>
        <v>0</v>
      </c>
      <c r="I4" s="10">
        <f>0.5*B8/B9*(1-SQRT(1-(4.598*H4*10^6)/(1000*B16^2*B8)))*(B16*1000)</f>
        <v>0</v>
      </c>
      <c r="J4" s="10" t="e">
        <f>K2/I4*1000</f>
        <v>#DIV/0!</v>
      </c>
      <c r="K4" s="10" t="e">
        <f>FLOOR(J4,15)</f>
        <v>#DIV/0!</v>
      </c>
      <c r="L4" s="5"/>
    </row>
    <row r="5" spans="1:16">
      <c r="A5" s="10" t="s">
        <v>4</v>
      </c>
      <c r="B5" s="10">
        <v>0.23</v>
      </c>
      <c r="C5" s="10" t="s">
        <v>10</v>
      </c>
      <c r="D5" s="4"/>
      <c r="E5" s="10" t="s">
        <v>32</v>
      </c>
      <c r="F5" s="10">
        <v>7.5999999999999998E-2</v>
      </c>
      <c r="G5" s="10" t="s">
        <v>36</v>
      </c>
      <c r="H5" s="10">
        <f>G2*F5*I2^2</f>
        <v>29.321067187499999</v>
      </c>
      <c r="I5" s="10">
        <f>0.5*B8/B9*(1-SQRT(1-(4.598*H5*10^6)/(1000*B16^2*B8)))*(B16*1000)</f>
        <v>614.8913396205777</v>
      </c>
      <c r="J5" s="10">
        <f>K2/I5*1000</f>
        <v>81.705492926605359</v>
      </c>
      <c r="K5" s="10">
        <f>FLOOR(J5,15)</f>
        <v>75</v>
      </c>
      <c r="L5" s="5"/>
    </row>
    <row r="6" spans="1:16">
      <c r="A6" s="10" t="s">
        <v>5</v>
      </c>
      <c r="B6" s="10">
        <v>20</v>
      </c>
      <c r="C6" s="10" t="s">
        <v>11</v>
      </c>
      <c r="D6" s="4"/>
      <c r="E6" s="10" t="s">
        <v>33</v>
      </c>
      <c r="F6" s="10">
        <v>5.7000000000000002E-2</v>
      </c>
      <c r="G6" s="10" t="s">
        <v>37</v>
      </c>
      <c r="H6" s="10">
        <f>G2*F6*I2^2</f>
        <v>21.990800390625004</v>
      </c>
      <c r="I6" s="10">
        <f>0.5*B8/B9*(1-SQRT(1-(4.598*H6*10^6)/(1000*B16^2*B8)))*(B16*1000)</f>
        <v>443.85652346969619</v>
      </c>
      <c r="J6" s="10">
        <f>K2/I6*1000</f>
        <v>113.18972988673464</v>
      </c>
      <c r="K6" s="10">
        <f>FLOOR(J6,20)</f>
        <v>100</v>
      </c>
      <c r="L6" s="5"/>
    </row>
    <row r="7" spans="1:16">
      <c r="A7" s="10" t="s">
        <v>6</v>
      </c>
      <c r="B7" s="10">
        <v>10</v>
      </c>
      <c r="C7" s="10" t="s">
        <v>11</v>
      </c>
      <c r="D7" s="4"/>
      <c r="E7" s="10" t="s">
        <v>34</v>
      </c>
      <c r="F7" s="10">
        <v>4.2999999999999997E-2</v>
      </c>
      <c r="G7" s="10" t="s">
        <v>38</v>
      </c>
      <c r="H7" s="10">
        <f>G2*F7*I2^2</f>
        <v>16.589551171875002</v>
      </c>
      <c r="I7" s="10">
        <f>0.5*B8/B9*(1-SQRT(1-(4.598*H7*10^6)/(1000*B16^2*B8)))*(B16*1000)</f>
        <v>326.42578359183352</v>
      </c>
      <c r="J7" s="10">
        <f>K2/I7*1000</f>
        <v>153.9094107309264</v>
      </c>
      <c r="K7" s="10">
        <f>FLOOR(J7,15)</f>
        <v>150</v>
      </c>
      <c r="L7" s="5"/>
    </row>
    <row r="8" spans="1:16">
      <c r="A8" s="10" t="s">
        <v>7</v>
      </c>
      <c r="B8" s="10">
        <v>20</v>
      </c>
      <c r="C8" s="10" t="s">
        <v>12</v>
      </c>
      <c r="D8" s="4"/>
      <c r="E8" s="4"/>
      <c r="F8" s="4"/>
      <c r="G8" s="4"/>
      <c r="H8" s="4"/>
      <c r="I8" s="4"/>
      <c r="J8" s="4"/>
      <c r="K8" s="4"/>
      <c r="L8" s="5"/>
    </row>
    <row r="9" spans="1:16" ht="15.75" thickBot="1">
      <c r="A9" s="10" t="s">
        <v>8</v>
      </c>
      <c r="B9" s="10">
        <v>500</v>
      </c>
      <c r="C9" s="10" t="s">
        <v>12</v>
      </c>
      <c r="D9" s="4"/>
      <c r="E9" s="9" t="s">
        <v>42</v>
      </c>
      <c r="F9" s="10"/>
      <c r="G9" s="4"/>
      <c r="H9" s="4"/>
      <c r="I9" s="4"/>
      <c r="J9" s="4"/>
      <c r="K9" s="4"/>
      <c r="L9" s="5"/>
    </row>
    <row r="10" spans="1:16" ht="15.75" thickBot="1">
      <c r="A10" s="10" t="s">
        <v>9</v>
      </c>
      <c r="B10" s="10">
        <f>B3+B5</f>
        <v>4.4300000000000006</v>
      </c>
      <c r="C10" s="10" t="s">
        <v>10</v>
      </c>
      <c r="D10" s="4"/>
      <c r="E10" s="10" t="s">
        <v>44</v>
      </c>
      <c r="F10" s="10">
        <f>I5</f>
        <v>614.8913396205777</v>
      </c>
      <c r="G10" s="10" t="s">
        <v>43</v>
      </c>
      <c r="H10" s="4"/>
      <c r="I10" s="4"/>
      <c r="J10" s="29" t="s">
        <v>68</v>
      </c>
      <c r="K10" s="17"/>
      <c r="L10" s="18"/>
    </row>
    <row r="11" spans="1:16">
      <c r="A11" s="10" t="s">
        <v>13</v>
      </c>
      <c r="B11" s="10">
        <f>B4+B5</f>
        <v>6.53</v>
      </c>
      <c r="C11" s="10" t="s">
        <v>10</v>
      </c>
      <c r="D11" s="4"/>
      <c r="E11" s="10" t="s">
        <v>45</v>
      </c>
      <c r="F11" s="10">
        <f>K2/K5*1000</f>
        <v>669.86666666666667</v>
      </c>
      <c r="G11" s="10" t="s">
        <v>43</v>
      </c>
      <c r="H11" s="4"/>
      <c r="I11" s="4"/>
      <c r="J11" s="19" t="s">
        <v>17</v>
      </c>
      <c r="K11" s="20">
        <f>B3</f>
        <v>4.2</v>
      </c>
      <c r="L11" s="21" t="s">
        <v>10</v>
      </c>
    </row>
    <row r="12" spans="1:16">
      <c r="A12" s="10" t="s">
        <v>24</v>
      </c>
      <c r="B12" s="10">
        <v>8</v>
      </c>
      <c r="C12" s="10" t="s">
        <v>27</v>
      </c>
      <c r="D12" s="4"/>
      <c r="E12" s="10" t="s">
        <v>46</v>
      </c>
      <c r="F12" s="10">
        <f>0.54*B9*F10/F11</f>
        <v>247.8413540469088</v>
      </c>
      <c r="G12" s="10" t="s">
        <v>67</v>
      </c>
      <c r="H12" s="4"/>
      <c r="I12" s="4"/>
      <c r="J12" s="19" t="s">
        <v>18</v>
      </c>
      <c r="K12" s="20">
        <f>B4</f>
        <v>6.3</v>
      </c>
      <c r="L12" s="21" t="s">
        <v>10</v>
      </c>
    </row>
    <row r="13" spans="1:16">
      <c r="A13" s="10" t="s">
        <v>23</v>
      </c>
      <c r="B13" s="10">
        <v>2</v>
      </c>
      <c r="C13" s="10" t="s">
        <v>27</v>
      </c>
      <c r="D13" s="4"/>
      <c r="E13" s="10" t="s">
        <v>47</v>
      </c>
      <c r="F13" s="10">
        <f>F11/(B16*1000)*100</f>
        <v>0.53589333333333333</v>
      </c>
      <c r="G13" s="10" t="s">
        <v>48</v>
      </c>
      <c r="H13" s="4"/>
      <c r="I13" s="4"/>
      <c r="J13" s="19" t="s">
        <v>69</v>
      </c>
      <c r="K13" s="20">
        <f>B15</f>
        <v>150</v>
      </c>
      <c r="L13" s="21" t="s">
        <v>11</v>
      </c>
    </row>
    <row r="14" spans="1:16">
      <c r="A14" s="3"/>
      <c r="B14" s="4"/>
      <c r="C14" s="4"/>
      <c r="D14" s="4"/>
      <c r="E14" s="10" t="s">
        <v>49</v>
      </c>
      <c r="F14" s="10">
        <v>1.2</v>
      </c>
      <c r="G14" s="4"/>
      <c r="H14" s="4"/>
      <c r="I14" s="4"/>
      <c r="J14" s="19" t="s">
        <v>70</v>
      </c>
      <c r="K14" s="20">
        <f>F13</f>
        <v>0.53589333333333333</v>
      </c>
      <c r="L14" s="21" t="s">
        <v>48</v>
      </c>
    </row>
    <row r="15" spans="1:16">
      <c r="A15" s="10" t="s">
        <v>14</v>
      </c>
      <c r="B15" s="10">
        <f>150</f>
        <v>150</v>
      </c>
      <c r="C15" s="10" t="s">
        <v>10</v>
      </c>
      <c r="D15" s="4"/>
      <c r="E15" s="10" t="s">
        <v>50</v>
      </c>
      <c r="F15" s="10">
        <v>1.1000000000000001</v>
      </c>
      <c r="G15" s="4"/>
      <c r="H15" s="4"/>
      <c r="I15" s="4"/>
      <c r="J15" s="19" t="s">
        <v>71</v>
      </c>
      <c r="K15" s="20">
        <f>F22</f>
        <v>502.4</v>
      </c>
      <c r="L15" s="21" t="s">
        <v>43</v>
      </c>
    </row>
    <row r="16" spans="1:16">
      <c r="A16" s="11" t="s">
        <v>15</v>
      </c>
      <c r="B16" s="11">
        <f>B15-B6-B7/2</f>
        <v>125</v>
      </c>
      <c r="C16" s="10" t="s">
        <v>11</v>
      </c>
      <c r="D16" s="4"/>
      <c r="E16" s="10" t="s">
        <v>51</v>
      </c>
      <c r="F16" s="10">
        <f>26*F14*F15</f>
        <v>34.32</v>
      </c>
      <c r="G16" s="4"/>
      <c r="H16" s="4"/>
      <c r="I16" s="4"/>
      <c r="J16" s="19"/>
      <c r="K16" s="20">
        <f>F23</f>
        <v>251.2</v>
      </c>
      <c r="L16" s="21" t="s">
        <v>43</v>
      </c>
    </row>
    <row r="17" spans="1:12">
      <c r="A17" s="3"/>
      <c r="B17" s="4"/>
      <c r="C17" s="4"/>
      <c r="D17" s="4"/>
      <c r="E17" s="10" t="s">
        <v>52</v>
      </c>
      <c r="F17" s="10">
        <f>B19*1000/B16</f>
        <v>34.6</v>
      </c>
      <c r="G17" s="4"/>
      <c r="H17" s="4"/>
      <c r="I17" s="4"/>
      <c r="J17" s="19" t="s">
        <v>40</v>
      </c>
      <c r="K17" s="20">
        <f>I22</f>
        <v>75</v>
      </c>
      <c r="L17" s="21" t="s">
        <v>11</v>
      </c>
    </row>
    <row r="18" spans="1:12" ht="15.75" thickBot="1">
      <c r="A18" s="9" t="s">
        <v>16</v>
      </c>
      <c r="B18" s="4"/>
      <c r="C18" s="4"/>
      <c r="D18" s="4"/>
      <c r="E18" s="10" t="s">
        <v>53</v>
      </c>
      <c r="F18" s="12" t="str">
        <f>IF(F17&gt;F16,"SAFE","UNSAFE")</f>
        <v>SAFE</v>
      </c>
      <c r="G18" s="4"/>
      <c r="H18" s="4"/>
      <c r="I18" s="4"/>
      <c r="J18" s="22"/>
      <c r="K18" s="23">
        <f>I23</f>
        <v>165</v>
      </c>
      <c r="L18" s="24" t="s">
        <v>11</v>
      </c>
    </row>
    <row r="19" spans="1:12">
      <c r="A19" s="10" t="s">
        <v>17</v>
      </c>
      <c r="B19" s="10">
        <f>MIN(B10,B3+B16/1000)</f>
        <v>4.3250000000000002</v>
      </c>
      <c r="C19" s="10" t="s">
        <v>10</v>
      </c>
      <c r="D19" s="4"/>
      <c r="E19" s="4"/>
      <c r="F19" s="4"/>
      <c r="G19" s="4"/>
      <c r="H19" s="4"/>
      <c r="I19" s="4"/>
      <c r="J19" s="4"/>
      <c r="K19" s="4"/>
      <c r="L19" s="5"/>
    </row>
    <row r="20" spans="1:12">
      <c r="A20" s="10" t="s">
        <v>18</v>
      </c>
      <c r="B20" s="10">
        <f>MIN(B11,B4+B16/1000)</f>
        <v>6.4249999999999998</v>
      </c>
      <c r="C20" s="10" t="s">
        <v>10</v>
      </c>
      <c r="D20" s="4"/>
      <c r="E20" s="9" t="s">
        <v>54</v>
      </c>
      <c r="F20" s="4"/>
      <c r="G20" s="10" t="s">
        <v>60</v>
      </c>
      <c r="H20" s="4"/>
      <c r="I20" s="4"/>
      <c r="J20" s="4"/>
      <c r="K20" s="4"/>
      <c r="L20" s="5"/>
    </row>
    <row r="21" spans="1:12">
      <c r="A21" s="10" t="s">
        <v>19</v>
      </c>
      <c r="B21" s="10">
        <f>B20/B19</f>
        <v>1.4855491329479769</v>
      </c>
      <c r="C21" s="10" t="s">
        <v>10</v>
      </c>
      <c r="D21" s="4"/>
      <c r="E21" s="10" t="s">
        <v>55</v>
      </c>
      <c r="F21" s="10" t="s">
        <v>58</v>
      </c>
      <c r="G21" s="10"/>
      <c r="H21" s="10" t="s">
        <v>59</v>
      </c>
      <c r="I21" s="10" t="s">
        <v>61</v>
      </c>
      <c r="J21" s="4"/>
      <c r="K21" s="4"/>
      <c r="L21" s="5"/>
    </row>
    <row r="22" spans="1:12">
      <c r="A22" s="12" t="str">
        <f>IF(B21&gt;2,"The given slab is one way shear","The given slab is two way slab")</f>
        <v>The given slab is two way slab</v>
      </c>
      <c r="B22" s="4"/>
      <c r="C22" s="4"/>
      <c r="D22" s="4"/>
      <c r="E22" s="10" t="s">
        <v>57</v>
      </c>
      <c r="F22" s="10">
        <f>3/4*F11</f>
        <v>502.4</v>
      </c>
      <c r="G22" s="10" t="s">
        <v>43</v>
      </c>
      <c r="H22" s="10">
        <f>ROUNDUP(F22/K2,0)</f>
        <v>10</v>
      </c>
      <c r="I22" s="10">
        <f>FLOOR(0.2*B19*1000/(H22),15)</f>
        <v>75</v>
      </c>
      <c r="J22" s="4"/>
      <c r="K22" s="4"/>
      <c r="L22" s="5"/>
    </row>
    <row r="23" spans="1:12">
      <c r="A23" s="9" t="s">
        <v>20</v>
      </c>
      <c r="B23" s="4"/>
      <c r="C23" s="4"/>
      <c r="D23" s="4"/>
      <c r="E23" s="10" t="s">
        <v>56</v>
      </c>
      <c r="F23" s="10">
        <f>3/8*F11</f>
        <v>251.2</v>
      </c>
      <c r="G23" s="10" t="s">
        <v>43</v>
      </c>
      <c r="H23" s="10">
        <f>F23/K2</f>
        <v>5</v>
      </c>
      <c r="I23" s="10">
        <f>FLOOR(0.2*B19*1000/(H23),15)</f>
        <v>165</v>
      </c>
      <c r="J23" s="4"/>
      <c r="K23" s="4"/>
      <c r="L23" s="5"/>
    </row>
    <row r="24" spans="1:12">
      <c r="A24" s="10" t="s">
        <v>21</v>
      </c>
      <c r="B24" s="10">
        <f>B15/1000*25</f>
        <v>3.75</v>
      </c>
      <c r="C24" s="10" t="s">
        <v>27</v>
      </c>
      <c r="D24" s="4"/>
      <c r="E24" s="4"/>
      <c r="F24" s="4"/>
      <c r="G24" s="4"/>
      <c r="H24" s="4"/>
      <c r="I24" s="4"/>
      <c r="J24" s="4"/>
      <c r="K24" s="4"/>
      <c r="L24" s="5"/>
    </row>
    <row r="25" spans="1:12">
      <c r="A25" s="10" t="s">
        <v>22</v>
      </c>
      <c r="B25" s="10">
        <f>B13</f>
        <v>2</v>
      </c>
      <c r="C25" s="10" t="s">
        <v>27</v>
      </c>
      <c r="D25" s="4"/>
      <c r="E25" s="4"/>
      <c r="F25" s="4"/>
      <c r="G25" s="4"/>
      <c r="H25" s="4"/>
      <c r="I25" s="4"/>
      <c r="J25" s="4"/>
      <c r="K25" s="4"/>
      <c r="L25" s="5"/>
    </row>
    <row r="26" spans="1:12">
      <c r="A26" s="10" t="s">
        <v>23</v>
      </c>
      <c r="B26" s="10">
        <f>B12</f>
        <v>8</v>
      </c>
      <c r="C26" s="10" t="s">
        <v>27</v>
      </c>
      <c r="D26" s="4"/>
      <c r="E26" s="4"/>
      <c r="F26" s="4"/>
      <c r="G26" s="4"/>
      <c r="H26" s="4"/>
      <c r="I26" s="4"/>
      <c r="J26" s="4"/>
      <c r="K26" s="4"/>
      <c r="L26" s="5"/>
    </row>
    <row r="27" spans="1:12">
      <c r="A27" s="10" t="s">
        <v>25</v>
      </c>
      <c r="B27" s="10">
        <f>SUM(B24:B26)</f>
        <v>13.75</v>
      </c>
      <c r="C27" s="10" t="s">
        <v>27</v>
      </c>
      <c r="D27" s="4"/>
      <c r="E27" s="4"/>
      <c r="F27" s="4"/>
      <c r="G27" s="4"/>
      <c r="H27" s="4"/>
      <c r="I27" s="4"/>
      <c r="J27" s="4"/>
      <c r="K27" s="4"/>
      <c r="L27" s="5"/>
    </row>
    <row r="28" spans="1:12">
      <c r="A28" s="10" t="s">
        <v>26</v>
      </c>
      <c r="B28" s="10">
        <f>1.5*B27</f>
        <v>20.625</v>
      </c>
      <c r="C28" s="10" t="s">
        <v>27</v>
      </c>
      <c r="D28" s="4"/>
      <c r="E28" s="4"/>
      <c r="F28" s="4"/>
      <c r="G28" s="4"/>
      <c r="H28" s="4"/>
      <c r="I28" s="4"/>
      <c r="J28" s="4"/>
      <c r="K28" s="4"/>
      <c r="L28" s="5"/>
    </row>
    <row r="29" spans="1:12" ht="15.75" thickBot="1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</row>
  </sheetData>
  <mergeCells count="1">
    <mergeCell ref="A1:L1"/>
  </mergeCells>
  <pageMargins left="0.7" right="0.7" top="0.75" bottom="0.75" header="0.3" footer="0.3"/>
  <pageSetup paperSize="9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 LAB</dc:creator>
  <cp:lastModifiedBy>CAD LAB</cp:lastModifiedBy>
  <dcterms:created xsi:type="dcterms:W3CDTF">2025-08-28T08:35:01Z</dcterms:created>
  <dcterms:modified xsi:type="dcterms:W3CDTF">2025-10-30T11:24:51Z</dcterms:modified>
</cp:coreProperties>
</file>