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36" i="1"/>
  <c r="H35"/>
  <c r="H34"/>
  <c r="L37" s="1"/>
  <c r="L35"/>
  <c r="L34"/>
  <c r="E35"/>
  <c r="E34"/>
  <c r="E32"/>
  <c r="L33"/>
  <c r="L32"/>
  <c r="Q28" l="1"/>
  <c r="M28"/>
  <c r="O21"/>
  <c r="L16"/>
  <c r="I22"/>
  <c r="I21"/>
  <c r="I20"/>
  <c r="I16"/>
  <c r="I9"/>
  <c r="I8"/>
  <c r="E23"/>
  <c r="E27" s="1"/>
  <c r="I6"/>
  <c r="H33"/>
  <c r="H32"/>
  <c r="H31"/>
  <c r="E33"/>
  <c r="E30"/>
  <c r="E26"/>
  <c r="E22"/>
  <c r="E19"/>
  <c r="E18"/>
  <c r="E15"/>
  <c r="E14"/>
  <c r="F7"/>
  <c r="E9" s="1"/>
  <c r="D7"/>
  <c r="D5"/>
  <c r="B14"/>
  <c r="B15" s="1"/>
  <c r="B16" s="1"/>
  <c r="B28"/>
  <c r="B27"/>
  <c r="B21"/>
  <c r="I7" l="1"/>
  <c r="E31"/>
  <c r="B17"/>
  <c r="B22" s="1"/>
  <c r="B23" s="1"/>
  <c r="B26"/>
  <c r="B29" s="1"/>
</calcChain>
</file>

<file path=xl/sharedStrings.xml><?xml version="1.0" encoding="utf-8"?>
<sst xmlns="http://schemas.openxmlformats.org/spreadsheetml/2006/main" count="120" uniqueCount="82">
  <si>
    <t>SIMPLY SUPPORTED ONE WAY SLAB</t>
  </si>
  <si>
    <t>INPUT DETAILS</t>
  </si>
  <si>
    <t>CLEAR SPAN (M)</t>
  </si>
  <si>
    <t>Fck(Mpa)</t>
  </si>
  <si>
    <t>FY(N/sqmm)</t>
  </si>
  <si>
    <t>CLEAR COVER(mm)</t>
  </si>
  <si>
    <t>BAR DIA(mm)</t>
  </si>
  <si>
    <t>WIDTH OF THE WALL(mm)</t>
  </si>
  <si>
    <t>LIVE LOAD (Kn/sqm)</t>
  </si>
  <si>
    <t>FLOOR FINISH (Kn/sqm)</t>
  </si>
  <si>
    <t>THICKNESS OF SLAB</t>
  </si>
  <si>
    <t>SUGGESTED "d"</t>
  </si>
  <si>
    <t>SUGGESTED "D"</t>
  </si>
  <si>
    <t>PROVIDED "D"</t>
  </si>
  <si>
    <t>EFFECTIVE SPAN</t>
  </si>
  <si>
    <t>Whichever is lesser</t>
  </si>
  <si>
    <t>a)c/c of Supports</t>
  </si>
  <si>
    <t>b) Clear span +eff d</t>
  </si>
  <si>
    <t>effective depth "d"</t>
  </si>
  <si>
    <t>mm</t>
  </si>
  <si>
    <t>m</t>
  </si>
  <si>
    <t>Hence, Effective Span</t>
  </si>
  <si>
    <t>LOADS CALCULATIONS</t>
  </si>
  <si>
    <t>SELF WEIGHT</t>
  </si>
  <si>
    <t>FLOOR FINISH</t>
  </si>
  <si>
    <t>LIVE LOAD</t>
  </si>
  <si>
    <t>TOTAL FACTORED LOAD</t>
  </si>
  <si>
    <t>SELF WEIGHT CONCRETE(Kn/sqm)</t>
  </si>
  <si>
    <t>Kn/sqm</t>
  </si>
  <si>
    <t>CHECK</t>
  </si>
  <si>
    <t>X</t>
  </si>
  <si>
    <t>DIMENSIONS OF SLAB(M)</t>
  </si>
  <si>
    <t>EFFCTIVE SPANS</t>
  </si>
  <si>
    <t>(FOR 1M WIDTH OF SLAB)</t>
  </si>
  <si>
    <t>ULTIMATE MOMENT &amp;SHEAR FORCE</t>
  </si>
  <si>
    <t>Mu</t>
  </si>
  <si>
    <t>KNm</t>
  </si>
  <si>
    <t>Vu</t>
  </si>
  <si>
    <t>KN</t>
  </si>
  <si>
    <t>LIMITING MOMENT OF RESISTENCE</t>
  </si>
  <si>
    <t>Mu limit</t>
  </si>
  <si>
    <t>MAIN REINFORCEMENT</t>
  </si>
  <si>
    <t>AST req</t>
  </si>
  <si>
    <t>Sqmm</t>
  </si>
  <si>
    <t>Mu/bd^2</t>
  </si>
  <si>
    <t>N/sqmm</t>
  </si>
  <si>
    <t>CHECK FOR MIN AST</t>
  </si>
  <si>
    <t>AST min</t>
  </si>
  <si>
    <t xml:space="preserve">CHECK </t>
  </si>
  <si>
    <t xml:space="preserve">SPACING </t>
  </si>
  <si>
    <t>S</t>
  </si>
  <si>
    <t>AREA OF BAR</t>
  </si>
  <si>
    <t>3d</t>
  </si>
  <si>
    <t>PROVIDE SPACING c/c</t>
  </si>
  <si>
    <t>SPACING FOR MIN REINFORCEMENT</t>
  </si>
  <si>
    <t>BAR SIZE</t>
  </si>
  <si>
    <t>5d</t>
  </si>
  <si>
    <t>ASPECT RATIO</t>
  </si>
  <si>
    <t>CHECK FOR SHEAR</t>
  </si>
  <si>
    <t>TOV</t>
  </si>
  <si>
    <t>% OF  TENSION REFT</t>
  </si>
  <si>
    <t>%</t>
  </si>
  <si>
    <t>TOC</t>
  </si>
  <si>
    <t>CHECK FOR DEFLECTION</t>
  </si>
  <si>
    <t>(l/d)basic</t>
  </si>
  <si>
    <t>Kt</t>
  </si>
  <si>
    <t>Kc</t>
  </si>
  <si>
    <t>FACTOR</t>
  </si>
  <si>
    <t>Fs</t>
  </si>
  <si>
    <t>Fy</t>
  </si>
  <si>
    <t>(l/d)MAX</t>
  </si>
  <si>
    <t>(l/d)PRO</t>
  </si>
  <si>
    <t xml:space="preserve">Summary </t>
  </si>
  <si>
    <t>Effective Span</t>
  </si>
  <si>
    <t>Ast Provided</t>
  </si>
  <si>
    <t>sqmm</t>
  </si>
  <si>
    <t>with Spacing</t>
  </si>
  <si>
    <t>Distribution ast pro</t>
  </si>
  <si>
    <t>depth of beam</t>
  </si>
  <si>
    <t>Spro</t>
  </si>
  <si>
    <t>Ast Pro</t>
  </si>
  <si>
    <t>PROVIDED ast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</si>
</sst>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i/>
      <u/>
      <sz val="13"/>
      <color theme="0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13</xdr:row>
      <xdr:rowOff>57150</xdr:rowOff>
    </xdr:from>
    <xdr:to>
      <xdr:col>16</xdr:col>
      <xdr:colOff>600075</xdr:colOff>
      <xdr:row>19</xdr:row>
      <xdr:rowOff>9525</xdr:rowOff>
    </xdr:to>
    <xdr:sp macro="" textlink="">
      <xdr:nvSpPr>
        <xdr:cNvPr id="10" name="Rectangle 9"/>
        <xdr:cNvSpPr/>
      </xdr:nvSpPr>
      <xdr:spPr>
        <a:xfrm>
          <a:off x="11639550" y="2562225"/>
          <a:ext cx="3048000" cy="10953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600075</xdr:colOff>
      <xdr:row>19</xdr:row>
      <xdr:rowOff>19050</xdr:rowOff>
    </xdr:from>
    <xdr:to>
      <xdr:col>12</xdr:col>
      <xdr:colOff>590550</xdr:colOff>
      <xdr:row>25</xdr:row>
      <xdr:rowOff>180975</xdr:rowOff>
    </xdr:to>
    <xdr:sp macro="" textlink="">
      <xdr:nvSpPr>
        <xdr:cNvPr id="11" name="Rectangle 10"/>
        <xdr:cNvSpPr/>
      </xdr:nvSpPr>
      <xdr:spPr>
        <a:xfrm>
          <a:off x="11639550" y="3667125"/>
          <a:ext cx="600075" cy="130492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19</xdr:row>
      <xdr:rowOff>9525</xdr:rowOff>
    </xdr:from>
    <xdr:to>
      <xdr:col>16</xdr:col>
      <xdr:colOff>600075</xdr:colOff>
      <xdr:row>25</xdr:row>
      <xdr:rowOff>171450</xdr:rowOff>
    </xdr:to>
    <xdr:sp macro="" textlink="">
      <xdr:nvSpPr>
        <xdr:cNvPr id="12" name="Rectangle 11"/>
        <xdr:cNvSpPr/>
      </xdr:nvSpPr>
      <xdr:spPr>
        <a:xfrm>
          <a:off x="14087475" y="3657600"/>
          <a:ext cx="600075" cy="130492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142875</xdr:colOff>
      <xdr:row>14</xdr:row>
      <xdr:rowOff>171450</xdr:rowOff>
    </xdr:from>
    <xdr:to>
      <xdr:col>13</xdr:col>
      <xdr:colOff>200025</xdr:colOff>
      <xdr:row>14</xdr:row>
      <xdr:rowOff>180975</xdr:rowOff>
    </xdr:to>
    <xdr:cxnSp macro="">
      <xdr:nvCxnSpPr>
        <xdr:cNvPr id="14" name="Straight Connector 13"/>
        <xdr:cNvCxnSpPr/>
      </xdr:nvCxnSpPr>
      <xdr:spPr>
        <a:xfrm flipV="1">
          <a:off x="11791950" y="2867025"/>
          <a:ext cx="666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428625</xdr:colOff>
      <xdr:row>15</xdr:row>
      <xdr:rowOff>1</xdr:rowOff>
    </xdr:from>
    <xdr:to>
      <xdr:col>16</xdr:col>
      <xdr:colOff>504825</xdr:colOff>
      <xdr:row>15</xdr:row>
      <xdr:rowOff>9525</xdr:rowOff>
    </xdr:to>
    <xdr:cxnSp macro="">
      <xdr:nvCxnSpPr>
        <xdr:cNvPr id="17" name="Straight Connector 16"/>
        <xdr:cNvCxnSpPr/>
      </xdr:nvCxnSpPr>
      <xdr:spPr>
        <a:xfrm>
          <a:off x="13906500" y="2886076"/>
          <a:ext cx="68580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219074</xdr:colOff>
      <xdr:row>14</xdr:row>
      <xdr:rowOff>180974</xdr:rowOff>
    </xdr:from>
    <xdr:to>
      <xdr:col>13</xdr:col>
      <xdr:colOff>542925</xdr:colOff>
      <xdr:row>18</xdr:row>
      <xdr:rowOff>9527</xdr:rowOff>
    </xdr:to>
    <xdr:cxnSp macro="">
      <xdr:nvCxnSpPr>
        <xdr:cNvPr id="20" name="Straight Connector 19"/>
        <xdr:cNvCxnSpPr/>
      </xdr:nvCxnSpPr>
      <xdr:spPr>
        <a:xfrm rot="16200000" flipH="1">
          <a:off x="12344398" y="3009900"/>
          <a:ext cx="590553" cy="3238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514350</xdr:colOff>
      <xdr:row>18</xdr:row>
      <xdr:rowOff>0</xdr:rowOff>
    </xdr:from>
    <xdr:to>
      <xdr:col>15</xdr:col>
      <xdr:colOff>85725</xdr:colOff>
      <xdr:row>18</xdr:row>
      <xdr:rowOff>1</xdr:rowOff>
    </xdr:to>
    <xdr:cxnSp macro="">
      <xdr:nvCxnSpPr>
        <xdr:cNvPr id="22" name="Straight Connector 21"/>
        <xdr:cNvCxnSpPr/>
      </xdr:nvCxnSpPr>
      <xdr:spPr>
        <a:xfrm flipV="1">
          <a:off x="12773025" y="3457575"/>
          <a:ext cx="7905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</xdr:colOff>
      <xdr:row>14</xdr:row>
      <xdr:rowOff>190499</xdr:rowOff>
    </xdr:from>
    <xdr:to>
      <xdr:col>15</xdr:col>
      <xdr:colOff>419101</xdr:colOff>
      <xdr:row>17</xdr:row>
      <xdr:rowOff>171453</xdr:rowOff>
    </xdr:to>
    <xdr:cxnSp macro="">
      <xdr:nvCxnSpPr>
        <xdr:cNvPr id="24" name="Straight Connector 23"/>
        <xdr:cNvCxnSpPr/>
      </xdr:nvCxnSpPr>
      <xdr:spPr>
        <a:xfrm rot="5400000">
          <a:off x="13454061" y="2995613"/>
          <a:ext cx="552454" cy="3333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18</xdr:row>
      <xdr:rowOff>0</xdr:rowOff>
    </xdr:from>
    <xdr:to>
      <xdr:col>16</xdr:col>
      <xdr:colOff>514350</xdr:colOff>
      <xdr:row>18</xdr:row>
      <xdr:rowOff>19050</xdr:rowOff>
    </xdr:to>
    <xdr:cxnSp macro="">
      <xdr:nvCxnSpPr>
        <xdr:cNvPr id="30" name="Straight Connector 29"/>
        <xdr:cNvCxnSpPr/>
      </xdr:nvCxnSpPr>
      <xdr:spPr>
        <a:xfrm>
          <a:off x="11772900" y="3457575"/>
          <a:ext cx="28289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495299</xdr:colOff>
      <xdr:row>13</xdr:row>
      <xdr:rowOff>76201</xdr:rowOff>
    </xdr:from>
    <xdr:to>
      <xdr:col>11</xdr:col>
      <xdr:colOff>504824</xdr:colOff>
      <xdr:row>19</xdr:row>
      <xdr:rowOff>38101</xdr:rowOff>
    </xdr:to>
    <xdr:cxnSp macro="">
      <xdr:nvCxnSpPr>
        <xdr:cNvPr id="33" name="Straight Arrow Connector 32"/>
        <xdr:cNvCxnSpPr/>
      </xdr:nvCxnSpPr>
      <xdr:spPr>
        <a:xfrm rot="16200000" flipH="1">
          <a:off x="10987087" y="3128963"/>
          <a:ext cx="110490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19</xdr:row>
      <xdr:rowOff>180975</xdr:rowOff>
    </xdr:from>
    <xdr:to>
      <xdr:col>15</xdr:col>
      <xdr:colOff>542925</xdr:colOff>
      <xdr:row>19</xdr:row>
      <xdr:rowOff>182563</xdr:rowOff>
    </xdr:to>
    <xdr:cxnSp macro="">
      <xdr:nvCxnSpPr>
        <xdr:cNvPr id="35" name="Straight Arrow Connector 34"/>
        <xdr:cNvCxnSpPr/>
      </xdr:nvCxnSpPr>
      <xdr:spPr>
        <a:xfrm>
          <a:off x="12249150" y="3829050"/>
          <a:ext cx="177165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26</xdr:row>
      <xdr:rowOff>171450</xdr:rowOff>
    </xdr:from>
    <xdr:to>
      <xdr:col>13</xdr:col>
      <xdr:colOff>0</xdr:colOff>
      <xdr:row>26</xdr:row>
      <xdr:rowOff>173038</xdr:rowOff>
    </xdr:to>
    <xdr:cxnSp macro="">
      <xdr:nvCxnSpPr>
        <xdr:cNvPr id="40" name="Straight Arrow Connector 39"/>
        <xdr:cNvCxnSpPr/>
      </xdr:nvCxnSpPr>
      <xdr:spPr>
        <a:xfrm>
          <a:off x="11658600" y="5153025"/>
          <a:ext cx="60007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27</xdr:row>
      <xdr:rowOff>0</xdr:rowOff>
    </xdr:from>
    <xdr:to>
      <xdr:col>16</xdr:col>
      <xdr:colOff>600075</xdr:colOff>
      <xdr:row>27</xdr:row>
      <xdr:rowOff>1588</xdr:rowOff>
    </xdr:to>
    <xdr:cxnSp macro="">
      <xdr:nvCxnSpPr>
        <xdr:cNvPr id="42" name="Straight Arrow Connector 41"/>
        <xdr:cNvCxnSpPr/>
      </xdr:nvCxnSpPr>
      <xdr:spPr>
        <a:xfrm>
          <a:off x="14087475" y="5172075"/>
          <a:ext cx="60007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showGridLines="0" tabSelected="1" workbookViewId="0">
      <selection activeCell="R31" sqref="R31"/>
    </sheetView>
  </sheetViews>
  <sheetFormatPr defaultRowHeight="15"/>
  <cols>
    <col min="1" max="1" width="31" style="2" bestFit="1" customWidth="1"/>
    <col min="2" max="2" width="8" style="2" bestFit="1" customWidth="1"/>
    <col min="3" max="3" width="15.42578125" style="2" customWidth="1"/>
    <col min="4" max="4" width="23.7109375" style="2" bestFit="1" customWidth="1"/>
    <col min="5" max="5" width="13.7109375" style="2" bestFit="1" customWidth="1"/>
    <col min="6" max="6" width="9.140625" style="2"/>
    <col min="7" max="7" width="23.7109375" style="2" bestFit="1" customWidth="1"/>
    <col min="8" max="8" width="19" style="2" bestFit="1" customWidth="1"/>
    <col min="9" max="9" width="12" style="2" bestFit="1" customWidth="1"/>
    <col min="10" max="10" width="9.140625" style="2"/>
    <col min="11" max="11" width="21" style="2" bestFit="1" customWidth="1"/>
    <col min="12" max="16384" width="9.140625" style="2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3" t="s">
        <v>1</v>
      </c>
      <c r="B2" s="4"/>
      <c r="C2" s="4"/>
    </row>
    <row r="3" spans="1:16" ht="15.75" thickBot="1">
      <c r="A3" s="4" t="s">
        <v>2</v>
      </c>
      <c r="B3" s="4">
        <v>3.5</v>
      </c>
      <c r="C3" s="4"/>
    </row>
    <row r="4" spans="1:16">
      <c r="A4" s="4" t="s">
        <v>3</v>
      </c>
      <c r="B4" s="4">
        <v>20</v>
      </c>
      <c r="C4" s="4"/>
      <c r="D4" s="5" t="s">
        <v>31</v>
      </c>
      <c r="E4" s="5"/>
      <c r="F4" s="6"/>
    </row>
    <row r="5" spans="1:16" ht="15.75" thickBot="1">
      <c r="A5" s="4" t="s">
        <v>4</v>
      </c>
      <c r="B5" s="4">
        <v>415</v>
      </c>
      <c r="C5" s="4"/>
      <c r="D5" s="7">
        <f>B3</f>
        <v>3.5</v>
      </c>
      <c r="E5" s="7" t="s">
        <v>30</v>
      </c>
      <c r="F5" s="8">
        <v>8</v>
      </c>
      <c r="H5" s="3" t="s">
        <v>58</v>
      </c>
      <c r="I5" s="4"/>
      <c r="J5" s="4"/>
    </row>
    <row r="6" spans="1:16">
      <c r="A6" s="4" t="s">
        <v>5</v>
      </c>
      <c r="B6" s="4">
        <v>15</v>
      </c>
      <c r="C6" s="4"/>
      <c r="D6" s="9" t="s">
        <v>32</v>
      </c>
      <c r="E6" s="9"/>
      <c r="F6" s="10"/>
      <c r="H6" s="4" t="s">
        <v>59</v>
      </c>
      <c r="I6" s="4">
        <f>E15*1000/(B17*1000)</f>
        <v>0.15903125000000001</v>
      </c>
      <c r="J6" s="4" t="s">
        <v>45</v>
      </c>
    </row>
    <row r="7" spans="1:16">
      <c r="A7" s="4" t="s">
        <v>6</v>
      </c>
      <c r="B7" s="4">
        <v>10</v>
      </c>
      <c r="C7" s="4"/>
      <c r="D7" s="11">
        <f>B23</f>
        <v>3.6349999999999998</v>
      </c>
      <c r="E7" s="11" t="s">
        <v>30</v>
      </c>
      <c r="F7" s="12">
        <f>MIN(F5+B17/1000,F5+B8/1000)</f>
        <v>8.1349999999999998</v>
      </c>
      <c r="H7" s="4" t="s">
        <v>60</v>
      </c>
      <c r="I7" s="4">
        <f>(E23/(1000*B17))*100</f>
        <v>0.31742779446890096</v>
      </c>
      <c r="J7" s="4" t="s">
        <v>61</v>
      </c>
    </row>
    <row r="8" spans="1:16">
      <c r="A8" s="4" t="s">
        <v>7</v>
      </c>
      <c r="B8" s="4">
        <v>230</v>
      </c>
      <c r="C8" s="4"/>
      <c r="D8" s="4" t="s">
        <v>57</v>
      </c>
      <c r="E8" s="4"/>
      <c r="F8" s="4"/>
      <c r="H8" s="4" t="s">
        <v>62</v>
      </c>
      <c r="I8" s="4">
        <f>0.392</f>
        <v>0.39200000000000002</v>
      </c>
      <c r="J8" s="4" t="s">
        <v>45</v>
      </c>
    </row>
    <row r="9" spans="1:16">
      <c r="A9" s="4" t="s">
        <v>8</v>
      </c>
      <c r="B9" s="4">
        <v>3</v>
      </c>
      <c r="C9" s="4"/>
      <c r="D9" s="13" t="s">
        <v>29</v>
      </c>
      <c r="E9" s="14" t="str">
        <f>IF(F7/D7&gt;=2,"IT IS ONE WAY SLAB","IT IS TWO WAY SLAB")</f>
        <v>IT IS ONE WAY SLAB</v>
      </c>
      <c r="F9" s="14"/>
      <c r="H9" s="15" t="s">
        <v>29</v>
      </c>
      <c r="I9" s="16" t="str">
        <f>IF(I8&gt;I6,"OKAY","NOT OKAY")</f>
        <v>OKAY</v>
      </c>
      <c r="J9" s="4"/>
    </row>
    <row r="10" spans="1:16">
      <c r="A10" s="4" t="s">
        <v>9</v>
      </c>
      <c r="B10" s="4">
        <v>1</v>
      </c>
      <c r="C10" s="4"/>
    </row>
    <row r="11" spans="1:16">
      <c r="A11" s="4" t="s">
        <v>27</v>
      </c>
      <c r="B11" s="4">
        <v>25</v>
      </c>
      <c r="C11" s="4"/>
    </row>
    <row r="13" spans="1:16">
      <c r="A13" s="3" t="s">
        <v>10</v>
      </c>
      <c r="B13" s="4"/>
      <c r="C13" s="4"/>
      <c r="D13" s="17" t="s">
        <v>34</v>
      </c>
      <c r="E13" s="17"/>
      <c r="F13" s="17"/>
      <c r="G13" s="18"/>
      <c r="H13" s="18" t="s">
        <v>63</v>
      </c>
      <c r="I13" s="19"/>
      <c r="J13" s="20"/>
    </row>
    <row r="14" spans="1:16">
      <c r="A14" s="4" t="s">
        <v>11</v>
      </c>
      <c r="B14" s="4">
        <f>B3*1000/28</f>
        <v>125</v>
      </c>
      <c r="C14" s="4" t="s">
        <v>19</v>
      </c>
      <c r="D14" s="4" t="s">
        <v>35</v>
      </c>
      <c r="E14" s="4">
        <f>B29*D7*D7*0.125</f>
        <v>19.510152539062499</v>
      </c>
      <c r="F14" s="4" t="s">
        <v>36</v>
      </c>
      <c r="G14" s="21"/>
      <c r="H14" s="4" t="s">
        <v>64</v>
      </c>
      <c r="I14" s="4">
        <v>20</v>
      </c>
      <c r="J14" s="4"/>
    </row>
    <row r="15" spans="1:16">
      <c r="A15" s="4" t="s">
        <v>12</v>
      </c>
      <c r="B15" s="4">
        <f>B14+0.5*B7+B6</f>
        <v>145</v>
      </c>
      <c r="C15" s="4" t="s">
        <v>19</v>
      </c>
      <c r="D15" s="4" t="s">
        <v>37</v>
      </c>
      <c r="E15" s="4">
        <f>B29*D7/2</f>
        <v>21.46921875</v>
      </c>
      <c r="F15" s="4" t="s">
        <v>38</v>
      </c>
      <c r="G15" s="21"/>
      <c r="H15" s="4" t="s">
        <v>69</v>
      </c>
      <c r="I15" s="4">
        <v>250</v>
      </c>
      <c r="J15" s="4"/>
    </row>
    <row r="16" spans="1:16">
      <c r="A16" s="4" t="s">
        <v>13</v>
      </c>
      <c r="B16" s="4">
        <f>B15+10</f>
        <v>155</v>
      </c>
      <c r="C16" s="4" t="s">
        <v>19</v>
      </c>
      <c r="H16" s="4" t="s">
        <v>68</v>
      </c>
      <c r="I16" s="4">
        <f>0.58*I15*(1)</f>
        <v>145</v>
      </c>
      <c r="J16" s="4"/>
      <c r="L16" s="22">
        <f>B16</f>
        <v>155</v>
      </c>
    </row>
    <row r="17" spans="1:18">
      <c r="A17" s="15" t="s">
        <v>18</v>
      </c>
      <c r="B17" s="15">
        <f>B16-0.5*B7-B6</f>
        <v>135</v>
      </c>
      <c r="C17" s="23" t="s">
        <v>19</v>
      </c>
      <c r="D17" s="17" t="s">
        <v>39</v>
      </c>
      <c r="E17" s="17"/>
      <c r="F17" s="17"/>
      <c r="G17" s="24"/>
      <c r="H17" s="4" t="s">
        <v>65</v>
      </c>
      <c r="I17" s="4">
        <v>2</v>
      </c>
      <c r="J17" s="4"/>
      <c r="L17" s="22" t="s">
        <v>19</v>
      </c>
    </row>
    <row r="18" spans="1:18">
      <c r="D18" s="4" t="s">
        <v>40</v>
      </c>
      <c r="E18" s="4">
        <f>(0.138*B4*1000*B17^2)*10^-6</f>
        <v>50.301000000000002</v>
      </c>
      <c r="F18" s="4" t="s">
        <v>36</v>
      </c>
      <c r="G18" s="21"/>
      <c r="H18" s="15" t="s">
        <v>66</v>
      </c>
      <c r="I18" s="4">
        <v>1.1000000000000001</v>
      </c>
      <c r="J18" s="4"/>
    </row>
    <row r="19" spans="1:18">
      <c r="A19" s="3" t="s">
        <v>14</v>
      </c>
      <c r="B19" s="4"/>
      <c r="C19" s="21"/>
      <c r="D19" s="13" t="s">
        <v>29</v>
      </c>
      <c r="E19" s="14" t="str">
        <f>IF(E18&gt;E14,"UNDER REINFORCED SECTION","OVER REINFORCED SECTION")</f>
        <v>UNDER REINFORCED SECTION</v>
      </c>
      <c r="F19" s="14"/>
      <c r="G19" s="25"/>
      <c r="H19" s="4" t="s">
        <v>67</v>
      </c>
      <c r="I19" s="4">
        <v>1.4</v>
      </c>
      <c r="J19" s="4"/>
    </row>
    <row r="20" spans="1:18">
      <c r="A20" s="4" t="s">
        <v>15</v>
      </c>
      <c r="B20" s="4"/>
      <c r="C20" s="4"/>
      <c r="H20" s="4" t="s">
        <v>70</v>
      </c>
      <c r="I20" s="4">
        <f>I14*I17*I18*I19</f>
        <v>61.599999999999994</v>
      </c>
      <c r="J20" s="4"/>
    </row>
    <row r="21" spans="1:18">
      <c r="A21" s="4" t="s">
        <v>16</v>
      </c>
      <c r="B21" s="4">
        <f>B3+B8/1000</f>
        <v>3.73</v>
      </c>
      <c r="C21" s="4" t="s">
        <v>20</v>
      </c>
      <c r="D21" s="26" t="s">
        <v>41</v>
      </c>
      <c r="E21" s="27"/>
      <c r="F21" s="4"/>
      <c r="H21" s="4" t="s">
        <v>71</v>
      </c>
      <c r="I21" s="4">
        <f>D7/B17*1000</f>
        <v>26.925925925925927</v>
      </c>
      <c r="J21" s="4"/>
      <c r="O21" s="22">
        <f>D5</f>
        <v>3.5</v>
      </c>
      <c r="P21" s="22" t="s">
        <v>20</v>
      </c>
    </row>
    <row r="22" spans="1:18">
      <c r="A22" s="4" t="s">
        <v>17</v>
      </c>
      <c r="B22" s="4">
        <f>B3+B17/1000</f>
        <v>3.6349999999999998</v>
      </c>
      <c r="C22" s="4" t="s">
        <v>20</v>
      </c>
      <c r="D22" s="4" t="s">
        <v>44</v>
      </c>
      <c r="E22" s="4">
        <f>E14*10^6/(1000*B17^2)</f>
        <v>1.0705159143518519</v>
      </c>
      <c r="F22" s="4" t="s">
        <v>45</v>
      </c>
      <c r="H22" s="15" t="s">
        <v>29</v>
      </c>
      <c r="I22" s="16" t="str">
        <f>IF(I21&lt;I20,"Okay","Not Okay")</f>
        <v>Okay</v>
      </c>
      <c r="J22" s="4"/>
    </row>
    <row r="23" spans="1:18">
      <c r="A23" s="15" t="s">
        <v>21</v>
      </c>
      <c r="B23" s="15">
        <f>MIN(B21:B22)</f>
        <v>3.6349999999999998</v>
      </c>
      <c r="C23" s="15" t="s">
        <v>20</v>
      </c>
      <c r="D23" s="15" t="s">
        <v>42</v>
      </c>
      <c r="E23" s="15">
        <f>(B4/(2*B5))*(1-SQRT(1-((4.598*E22)/B4)))*(1000*B17)</f>
        <v>428.52752253301634</v>
      </c>
      <c r="F23" s="15" t="s">
        <v>43</v>
      </c>
    </row>
    <row r="25" spans="1:18">
      <c r="A25" s="3" t="s">
        <v>22</v>
      </c>
      <c r="B25" s="28" t="s">
        <v>33</v>
      </c>
      <c r="C25" s="28"/>
      <c r="D25" s="29" t="s">
        <v>46</v>
      </c>
      <c r="E25" s="4"/>
    </row>
    <row r="26" spans="1:18">
      <c r="A26" s="4" t="s">
        <v>23</v>
      </c>
      <c r="B26" s="4">
        <f>(B16/1000*B11*1)</f>
        <v>3.875</v>
      </c>
      <c r="C26" s="4" t="s">
        <v>28</v>
      </c>
      <c r="D26" s="4" t="s">
        <v>47</v>
      </c>
      <c r="E26" s="4">
        <f>0.12/100*1000*B16</f>
        <v>186</v>
      </c>
    </row>
    <row r="27" spans="1:18">
      <c r="A27" s="4" t="s">
        <v>24</v>
      </c>
      <c r="B27" s="4">
        <f>B10</f>
        <v>1</v>
      </c>
      <c r="C27" s="4" t="s">
        <v>28</v>
      </c>
      <c r="D27" s="15" t="s">
        <v>48</v>
      </c>
      <c r="E27" s="16" t="str">
        <f>IF(E26&lt;E23,"Okay","Not Okay")</f>
        <v>Okay</v>
      </c>
    </row>
    <row r="28" spans="1:18">
      <c r="A28" s="4" t="s">
        <v>25</v>
      </c>
      <c r="B28" s="4">
        <f>B9</f>
        <v>3</v>
      </c>
      <c r="C28" s="4" t="s">
        <v>28</v>
      </c>
      <c r="M28" s="2">
        <f>B8</f>
        <v>230</v>
      </c>
      <c r="N28" s="2" t="s">
        <v>19</v>
      </c>
      <c r="Q28" s="2">
        <f>B8</f>
        <v>230</v>
      </c>
      <c r="R28" s="2" t="s">
        <v>19</v>
      </c>
    </row>
    <row r="29" spans="1:18">
      <c r="A29" s="4" t="s">
        <v>26</v>
      </c>
      <c r="B29" s="4">
        <f>1.5*SUM(B26:B28)</f>
        <v>11.8125</v>
      </c>
      <c r="C29" s="21" t="s">
        <v>28</v>
      </c>
      <c r="D29" s="3" t="s">
        <v>49</v>
      </c>
      <c r="E29" s="4"/>
      <c r="F29" s="4"/>
      <c r="G29" s="17" t="s">
        <v>54</v>
      </c>
      <c r="H29" s="17"/>
      <c r="I29" s="4"/>
    </row>
    <row r="30" spans="1:18" ht="15.75" thickBot="1">
      <c r="D30" s="4" t="s">
        <v>51</v>
      </c>
      <c r="E30" s="4">
        <f>3.14*0.25*B7*B7</f>
        <v>78.5</v>
      </c>
      <c r="F30" s="4" t="s">
        <v>43</v>
      </c>
      <c r="G30" s="4" t="s">
        <v>55</v>
      </c>
      <c r="H30" s="4">
        <v>8</v>
      </c>
      <c r="I30" s="4" t="s">
        <v>19</v>
      </c>
    </row>
    <row r="31" spans="1:18" ht="18" thickBot="1">
      <c r="D31" s="4" t="s">
        <v>50</v>
      </c>
      <c r="E31" s="4">
        <f>E30/E23*1000</f>
        <v>183.18543354225721</v>
      </c>
      <c r="F31" s="4" t="s">
        <v>19</v>
      </c>
      <c r="G31" s="4" t="s">
        <v>51</v>
      </c>
      <c r="H31" s="4">
        <f>0.25*3.14*H30*H30</f>
        <v>50.24</v>
      </c>
      <c r="I31" s="4" t="s">
        <v>43</v>
      </c>
      <c r="K31" s="30" t="s">
        <v>72</v>
      </c>
      <c r="L31" s="31"/>
      <c r="M31" s="32"/>
    </row>
    <row r="32" spans="1:18" ht="15.75">
      <c r="D32" s="4" t="s">
        <v>79</v>
      </c>
      <c r="E32" s="4">
        <f>FLOOR(E31,25)</f>
        <v>175</v>
      </c>
      <c r="F32" s="4"/>
      <c r="G32" s="4" t="s">
        <v>50</v>
      </c>
      <c r="H32" s="4">
        <f>H31/E26*1000</f>
        <v>270.10752688172045</v>
      </c>
      <c r="I32" s="4" t="s">
        <v>19</v>
      </c>
      <c r="K32" s="33" t="s">
        <v>73</v>
      </c>
      <c r="L32" s="34">
        <f>B23</f>
        <v>3.6349999999999998</v>
      </c>
      <c r="M32" s="35" t="s">
        <v>20</v>
      </c>
    </row>
    <row r="33" spans="4:13" ht="15.75">
      <c r="D33" s="4" t="s">
        <v>52</v>
      </c>
      <c r="E33" s="4">
        <f>3*B17</f>
        <v>405</v>
      </c>
      <c r="F33" s="4" t="s">
        <v>19</v>
      </c>
      <c r="G33" s="4" t="s">
        <v>56</v>
      </c>
      <c r="H33" s="4">
        <f>5*B17</f>
        <v>675</v>
      </c>
      <c r="I33" s="4"/>
      <c r="K33" s="36" t="s">
        <v>78</v>
      </c>
      <c r="L33" s="37">
        <f>B16</f>
        <v>155</v>
      </c>
      <c r="M33" s="38" t="s">
        <v>20</v>
      </c>
    </row>
    <row r="34" spans="4:13" ht="15.75">
      <c r="D34" s="4" t="s">
        <v>53</v>
      </c>
      <c r="E34" s="4">
        <f>MIN(E33,300,E32)</f>
        <v>175</v>
      </c>
      <c r="F34" s="4" t="s">
        <v>19</v>
      </c>
      <c r="G34" s="4" t="s">
        <v>53</v>
      </c>
      <c r="H34" s="4">
        <f>MIN(H33,FLOOR(H32,25),450)</f>
        <v>250</v>
      </c>
      <c r="I34" s="4" t="s">
        <v>19</v>
      </c>
      <c r="K34" s="36" t="s">
        <v>74</v>
      </c>
      <c r="L34" s="37">
        <f>E35</f>
        <v>448.57142857142856</v>
      </c>
      <c r="M34" s="38" t="s">
        <v>75</v>
      </c>
    </row>
    <row r="35" spans="4:13" ht="15.75">
      <c r="D35" s="4" t="s">
        <v>80</v>
      </c>
      <c r="E35" s="4">
        <f>E30/E32*1000</f>
        <v>448.57142857142856</v>
      </c>
      <c r="F35" s="4" t="s">
        <v>75</v>
      </c>
      <c r="G35" s="4" t="s">
        <v>81</v>
      </c>
      <c r="H35" s="4">
        <f>H31/H34*1000</f>
        <v>200.96</v>
      </c>
      <c r="I35" s="4" t="s">
        <v>75</v>
      </c>
      <c r="K35" s="36" t="s">
        <v>76</v>
      </c>
      <c r="L35" s="37">
        <f>E34</f>
        <v>175</v>
      </c>
      <c r="M35" s="38" t="s">
        <v>19</v>
      </c>
    </row>
    <row r="36" spans="4:13" ht="15.75">
      <c r="K36" s="36" t="s">
        <v>77</v>
      </c>
      <c r="L36" s="37">
        <f>H35</f>
        <v>200.96</v>
      </c>
      <c r="M36" s="38" t="s">
        <v>75</v>
      </c>
    </row>
    <row r="37" spans="4:13" ht="16.5" thickBot="1">
      <c r="K37" s="39" t="s">
        <v>76</v>
      </c>
      <c r="L37" s="40">
        <f>H34</f>
        <v>250</v>
      </c>
      <c r="M37" s="41" t="s">
        <v>19</v>
      </c>
    </row>
  </sheetData>
  <mergeCells count="12">
    <mergeCell ref="K31:M31"/>
    <mergeCell ref="G29:H29"/>
    <mergeCell ref="H13:J13"/>
    <mergeCell ref="A1:P1"/>
    <mergeCell ref="D4:F4"/>
    <mergeCell ref="D6:F6"/>
    <mergeCell ref="E9:F9"/>
    <mergeCell ref="D13:G13"/>
    <mergeCell ref="E19:G19"/>
    <mergeCell ref="B25:C25"/>
    <mergeCell ref="D17:F17"/>
    <mergeCell ref="D21:E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LAB</dc:creator>
  <cp:lastModifiedBy>CAD LAB</cp:lastModifiedBy>
  <dcterms:created xsi:type="dcterms:W3CDTF">2025-08-21T08:57:18Z</dcterms:created>
  <dcterms:modified xsi:type="dcterms:W3CDTF">2025-09-04T09:02:38Z</dcterms:modified>
</cp:coreProperties>
</file>