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28695" windowHeight="12540" activeTab="1"/>
  </bookViews>
  <sheets>
    <sheet name="Sheet1" sheetId="1" r:id="rId1"/>
    <sheet name="Sheet3" sheetId="3" r:id="rId2"/>
  </sheets>
  <calcPr calcId="124519"/>
</workbook>
</file>

<file path=xl/calcChain.xml><?xml version="1.0" encoding="utf-8"?>
<calcChain xmlns="http://schemas.openxmlformats.org/spreadsheetml/2006/main">
  <c r="G23" i="3"/>
  <c r="N8"/>
  <c r="N7"/>
  <c r="N6"/>
  <c r="J30"/>
  <c r="J29"/>
  <c r="G30"/>
  <c r="G29"/>
  <c r="J28"/>
  <c r="J27"/>
  <c r="G28"/>
  <c r="G27"/>
  <c r="G24"/>
  <c r="J24"/>
  <c r="J23"/>
  <c r="J22"/>
  <c r="G22"/>
  <c r="G19"/>
  <c r="G18"/>
  <c r="G17"/>
  <c r="G16"/>
  <c r="G14"/>
  <c r="H14"/>
  <c r="H12"/>
  <c r="G12"/>
  <c r="B26"/>
  <c r="B24"/>
  <c r="B28" s="1"/>
  <c r="B23"/>
  <c r="B13"/>
  <c r="B22"/>
  <c r="B25"/>
  <c r="B30" s="1"/>
  <c r="B32" s="1"/>
  <c r="H3"/>
  <c r="H7" s="1"/>
  <c r="J3"/>
  <c r="J7" s="1"/>
  <c r="H4"/>
  <c r="J4"/>
  <c r="H5"/>
  <c r="J5"/>
  <c r="H6"/>
  <c r="J6"/>
  <c r="B29" l="1"/>
  <c r="B31" s="1"/>
  <c r="K6" l="1"/>
  <c r="K5"/>
  <c r="K4"/>
  <c r="K3"/>
  <c r="F36" i="1"/>
  <c r="F37" s="1"/>
  <c r="F38" s="1"/>
  <c r="F39" s="1"/>
  <c r="F40" s="1"/>
  <c r="F34"/>
  <c r="B35"/>
  <c r="B33"/>
  <c r="B26"/>
  <c r="B25"/>
  <c r="B24"/>
  <c r="B23"/>
  <c r="B21"/>
  <c r="B20"/>
  <c r="B16"/>
  <c r="B15"/>
  <c r="B14"/>
  <c r="B13"/>
  <c r="B17" s="1"/>
  <c r="B12"/>
  <c r="B30" l="1"/>
  <c r="B31" s="1"/>
  <c r="B32" s="1"/>
  <c r="B36" s="1"/>
  <c r="B37" s="1"/>
  <c r="B38" s="1"/>
  <c r="B39" s="1"/>
  <c r="B40" s="1"/>
  <c r="F24"/>
  <c r="F25" s="1"/>
  <c r="F26" s="1"/>
  <c r="F27" s="1"/>
  <c r="F28" s="1"/>
  <c r="F29" s="1"/>
  <c r="F30" s="1"/>
</calcChain>
</file>

<file path=xl/sharedStrings.xml><?xml version="1.0" encoding="utf-8"?>
<sst xmlns="http://schemas.openxmlformats.org/spreadsheetml/2006/main" count="218" uniqueCount="118">
  <si>
    <t>PILE CAP DESIGN</t>
  </si>
  <si>
    <t>Input Data</t>
  </si>
  <si>
    <t>Grade of Concrete</t>
  </si>
  <si>
    <t>Grade of Steel</t>
  </si>
  <si>
    <t>Factored Load</t>
  </si>
  <si>
    <t>Capacity of Each Individual Pile</t>
  </si>
  <si>
    <t>Mpa</t>
  </si>
  <si>
    <t>mm</t>
  </si>
  <si>
    <t>Kn</t>
  </si>
  <si>
    <t>No of Piles Req</t>
  </si>
  <si>
    <t xml:space="preserve">Provide </t>
  </si>
  <si>
    <t>C/C distance b/w Pile</t>
  </si>
  <si>
    <t xml:space="preserve">Clear Edge Distance </t>
  </si>
  <si>
    <t>Effective Edge Distance</t>
  </si>
  <si>
    <t>reaction at Under Each Pile</t>
  </si>
  <si>
    <t>Dimensions Of Pile Cap</t>
  </si>
  <si>
    <t>Length</t>
  </si>
  <si>
    <t>Breadth</t>
  </si>
  <si>
    <t>Depth Of Pile Cap</t>
  </si>
  <si>
    <t>for Dp &lt;=550mm</t>
  </si>
  <si>
    <t>Diameter of Pile (Dp)</t>
  </si>
  <si>
    <t>Adapt Depth as</t>
  </si>
  <si>
    <t>Check</t>
  </si>
  <si>
    <t>Clear Cover</t>
  </si>
  <si>
    <t>Diameter of Bar in Pile Cap</t>
  </si>
  <si>
    <t>Effective Depth Of Pile Cap</t>
  </si>
  <si>
    <t>Design For Flexure</t>
  </si>
  <si>
    <t>Mu</t>
  </si>
  <si>
    <t>Knm</t>
  </si>
  <si>
    <t>Width Of Column</t>
  </si>
  <si>
    <t>R</t>
  </si>
  <si>
    <t>Ast Req</t>
  </si>
  <si>
    <t>Sqmm</t>
  </si>
  <si>
    <t>Ast Min</t>
  </si>
  <si>
    <t>Providing Bar of dia</t>
  </si>
  <si>
    <t>Area of Bar</t>
  </si>
  <si>
    <t>Spacing req</t>
  </si>
  <si>
    <t>Spacing Pro</t>
  </si>
  <si>
    <t>C/C Spacing</t>
  </si>
  <si>
    <t>Ast Pro</t>
  </si>
  <si>
    <t>%</t>
  </si>
  <si>
    <t>Pt %</t>
  </si>
  <si>
    <t>Bottom Reft Along Width Of Column</t>
  </si>
  <si>
    <t>Depth Of Column</t>
  </si>
  <si>
    <t>Spacing Req</t>
  </si>
  <si>
    <t>Ast Provided</t>
  </si>
  <si>
    <t>Pt</t>
  </si>
  <si>
    <t>Top Reft Along B &amp; D</t>
  </si>
  <si>
    <t>Min % of reft is provided</t>
  </si>
  <si>
    <t>Ast min</t>
  </si>
  <si>
    <t>Considering Dia Of bar</t>
  </si>
  <si>
    <t>Area of bar</t>
  </si>
  <si>
    <t>Ast Prov</t>
  </si>
  <si>
    <t>Final Forces in Pile(KN)</t>
  </si>
  <si>
    <t>rzi^2</t>
  </si>
  <si>
    <t>rzi(m)</t>
  </si>
  <si>
    <t>rxi^2</t>
  </si>
  <si>
    <t>rxi(m)</t>
  </si>
  <si>
    <t>PILE NO.</t>
  </si>
  <si>
    <t>KN.m</t>
  </si>
  <si>
    <t>Total Bending Moment (Mtz)</t>
  </si>
  <si>
    <t>Total Bending Moment (Mtx)</t>
  </si>
  <si>
    <t>Moment due to shear at pile base(Mz')</t>
  </si>
  <si>
    <t>Moment due to shear at pile base (Mx')</t>
  </si>
  <si>
    <t>KN</t>
  </si>
  <si>
    <t>Total vertical unfactored force</t>
  </si>
  <si>
    <t>m</t>
  </si>
  <si>
    <t>Depth of pile cap</t>
  </si>
  <si>
    <t>Width</t>
  </si>
  <si>
    <t xml:space="preserve">Length </t>
  </si>
  <si>
    <t>C/C dist btw piles</t>
  </si>
  <si>
    <t>DIMENSIONS OF CAP</t>
  </si>
  <si>
    <t>Fz(KN)</t>
  </si>
  <si>
    <t>Mz(KN.m)</t>
  </si>
  <si>
    <t>Fx(KN)</t>
  </si>
  <si>
    <t>Mx(KN.m)</t>
  </si>
  <si>
    <t>Fy(KN)</t>
  </si>
  <si>
    <t>Reactions</t>
  </si>
  <si>
    <t>Clear Cantilever from pile</t>
  </si>
  <si>
    <t>KN/ m^3</t>
  </si>
  <si>
    <t>Unit Wt os soil</t>
  </si>
  <si>
    <t>Thickness of soil above PCap</t>
  </si>
  <si>
    <t>Depth of Column</t>
  </si>
  <si>
    <t>Width of column</t>
  </si>
  <si>
    <t>N/ Sq mm</t>
  </si>
  <si>
    <t>Fy</t>
  </si>
  <si>
    <t>Fck</t>
  </si>
  <si>
    <t>No.of Piles</t>
  </si>
  <si>
    <t>Dia of Pile</t>
  </si>
  <si>
    <t>INPUT DATA</t>
  </si>
  <si>
    <t>Max Ultimate BM(Mux)</t>
  </si>
  <si>
    <t>Section Along X</t>
  </si>
  <si>
    <t>Reaction are</t>
  </si>
  <si>
    <t>Section Along Z</t>
  </si>
  <si>
    <t>Max Ultimate BM(Muz)</t>
  </si>
  <si>
    <t>Effective Depth Along X</t>
  </si>
  <si>
    <t>Effective Depth Along Z</t>
  </si>
  <si>
    <t>X Direction</t>
  </si>
  <si>
    <t>Clear cover</t>
  </si>
  <si>
    <t>Min Ast</t>
  </si>
  <si>
    <t>Dia Of Main Bars</t>
  </si>
  <si>
    <t xml:space="preserve">Dia Of Distribution Bars </t>
  </si>
  <si>
    <t>Required Spacing Of Main Bars</t>
  </si>
  <si>
    <t>Required Spacing Of Distribution Bars</t>
  </si>
  <si>
    <t>Z Direction</t>
  </si>
  <si>
    <t>Provide Spacing Of Distribution Bars</t>
  </si>
  <si>
    <t>Provide Spacing Of Main Bars</t>
  </si>
  <si>
    <t>Required Spacing Of DIstribution Bars</t>
  </si>
  <si>
    <t>DESIGN OF PILE CAP</t>
  </si>
  <si>
    <t>Load due to Self Wt and Overbudden</t>
  </si>
  <si>
    <t>INPUT</t>
  </si>
  <si>
    <t>L</t>
  </si>
  <si>
    <t>W</t>
  </si>
  <si>
    <t>SBC</t>
  </si>
  <si>
    <t>KN/m^2</t>
  </si>
  <si>
    <t>Check for Sbc</t>
  </si>
  <si>
    <t>ultimate Net upward Pressure</t>
  </si>
  <si>
    <t>Cal of Depth of pile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</si>
</sst>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Fill="1" applyAlignment="1"/>
    <xf numFmtId="0" fontId="1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2" fillId="0" borderId="0" xfId="0" applyFont="1" applyFill="1" applyBorder="1" applyAlignment="1"/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5" borderId="5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40"/>
  <sheetViews>
    <sheetView topLeftCell="A16" zoomScale="148" zoomScaleNormal="148" workbookViewId="0">
      <selection activeCell="B36" sqref="B36"/>
    </sheetView>
  </sheetViews>
  <sheetFormatPr defaultRowHeight="15"/>
  <cols>
    <col min="1" max="1" width="32.85546875" style="1" bestFit="1" customWidth="1"/>
    <col min="2" max="2" width="12" style="1" bestFit="1" customWidth="1"/>
    <col min="3" max="3" width="9.140625" style="1"/>
    <col min="4" max="4" width="11.5703125" style="1" bestFit="1" customWidth="1"/>
    <col min="5" max="5" width="32.85546875" style="1" bestFit="1" customWidth="1"/>
    <col min="6" max="7" width="9.140625" style="1"/>
    <col min="8" max="8" width="22.28515625" style="1" bestFit="1" customWidth="1"/>
    <col min="9" max="16384" width="9.140625" style="1"/>
  </cols>
  <sheetData>
    <row r="1" spans="1:17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2"/>
      <c r="M1" s="2"/>
      <c r="N1" s="2"/>
      <c r="O1" s="2"/>
      <c r="P1" s="2"/>
      <c r="Q1" s="2"/>
    </row>
    <row r="2" spans="1:17">
      <c r="A2" s="3" t="s">
        <v>1</v>
      </c>
      <c r="B2" s="4"/>
      <c r="C2" s="4"/>
    </row>
    <row r="3" spans="1:17">
      <c r="A3" s="4" t="s">
        <v>2</v>
      </c>
      <c r="B3" s="4">
        <v>30</v>
      </c>
      <c r="C3" s="4" t="s">
        <v>6</v>
      </c>
    </row>
    <row r="4" spans="1:17">
      <c r="A4" s="4" t="s">
        <v>3</v>
      </c>
      <c r="B4" s="4">
        <v>500</v>
      </c>
      <c r="C4" s="4" t="s">
        <v>6</v>
      </c>
    </row>
    <row r="5" spans="1:17">
      <c r="A5" s="4" t="s">
        <v>20</v>
      </c>
      <c r="B5" s="4">
        <v>500</v>
      </c>
      <c r="C5" s="4" t="s">
        <v>7</v>
      </c>
    </row>
    <row r="6" spans="1:17">
      <c r="A6" s="4" t="s">
        <v>23</v>
      </c>
      <c r="B6" s="4">
        <v>60</v>
      </c>
      <c r="C6" s="4" t="s">
        <v>7</v>
      </c>
    </row>
    <row r="7" spans="1:17">
      <c r="A7" s="4" t="s">
        <v>24</v>
      </c>
      <c r="B7" s="4">
        <v>20</v>
      </c>
      <c r="C7" s="4" t="s">
        <v>7</v>
      </c>
    </row>
    <row r="8" spans="1:17">
      <c r="A8" s="4" t="s">
        <v>29</v>
      </c>
      <c r="B8" s="4">
        <v>230</v>
      </c>
      <c r="C8" s="4" t="s">
        <v>7</v>
      </c>
    </row>
    <row r="9" spans="1:17">
      <c r="A9" s="4" t="s">
        <v>43</v>
      </c>
      <c r="B9" s="4">
        <v>700</v>
      </c>
      <c r="C9" s="4" t="s">
        <v>7</v>
      </c>
    </row>
    <row r="10" spans="1:17">
      <c r="A10" s="4" t="s">
        <v>4</v>
      </c>
      <c r="B10" s="4">
        <v>5900</v>
      </c>
      <c r="C10" s="4" t="s">
        <v>8</v>
      </c>
    </row>
    <row r="11" spans="1:17">
      <c r="A11" s="4" t="s">
        <v>5</v>
      </c>
      <c r="B11" s="4">
        <v>1900</v>
      </c>
      <c r="C11" s="4" t="s">
        <v>8</v>
      </c>
    </row>
    <row r="12" spans="1:17">
      <c r="A12" s="4" t="s">
        <v>9</v>
      </c>
      <c r="B12" s="4">
        <f>B10/B11</f>
        <v>3.1052631578947367</v>
      </c>
      <c r="C12" s="4"/>
    </row>
    <row r="13" spans="1:17">
      <c r="A13" s="4" t="s">
        <v>10</v>
      </c>
      <c r="B13" s="4">
        <f>ROUNDUP(B12,0)</f>
        <v>4</v>
      </c>
      <c r="C13" s="4"/>
    </row>
    <row r="14" spans="1:17">
      <c r="A14" s="4" t="s">
        <v>11</v>
      </c>
      <c r="B14" s="4">
        <f>2.5*B5</f>
        <v>1250</v>
      </c>
      <c r="C14" s="4" t="s">
        <v>7</v>
      </c>
    </row>
    <row r="15" spans="1:17">
      <c r="A15" s="4" t="s">
        <v>12</v>
      </c>
      <c r="B15" s="4">
        <f>250</f>
        <v>250</v>
      </c>
      <c r="C15" s="4" t="s">
        <v>7</v>
      </c>
    </row>
    <row r="16" spans="1:17">
      <c r="A16" s="4" t="s">
        <v>13</v>
      </c>
      <c r="B16" s="4">
        <f>B15+B5/2</f>
        <v>500</v>
      </c>
      <c r="C16" s="4" t="s">
        <v>7</v>
      </c>
    </row>
    <row r="17" spans="1:7">
      <c r="A17" s="4" t="s">
        <v>14</v>
      </c>
      <c r="B17" s="4">
        <f>B10/B13</f>
        <v>1475</v>
      </c>
      <c r="C17" s="4" t="s">
        <v>8</v>
      </c>
    </row>
    <row r="19" spans="1:7">
      <c r="A19" s="3" t="s">
        <v>15</v>
      </c>
      <c r="B19" s="4"/>
      <c r="C19" s="4"/>
    </row>
    <row r="20" spans="1:7">
      <c r="A20" s="4" t="s">
        <v>16</v>
      </c>
      <c r="B20" s="4">
        <f>B14+2*B16</f>
        <v>2250</v>
      </c>
      <c r="C20" s="4" t="s">
        <v>7</v>
      </c>
    </row>
    <row r="21" spans="1:7">
      <c r="A21" s="4" t="s">
        <v>17</v>
      </c>
      <c r="B21" s="4">
        <f>B14+2*B16</f>
        <v>2250</v>
      </c>
      <c r="C21" s="4" t="s">
        <v>7</v>
      </c>
    </row>
    <row r="22" spans="1:7">
      <c r="A22" s="4" t="s">
        <v>19</v>
      </c>
      <c r="B22" s="4"/>
      <c r="C22" s="4"/>
    </row>
    <row r="23" spans="1:7">
      <c r="A23" s="4" t="s">
        <v>18</v>
      </c>
      <c r="B23" s="4">
        <f>2*B5+100</f>
        <v>1100</v>
      </c>
      <c r="C23" s="4" t="s">
        <v>7</v>
      </c>
      <c r="E23" s="3" t="s">
        <v>42</v>
      </c>
      <c r="F23" s="4"/>
      <c r="G23" s="4"/>
    </row>
    <row r="24" spans="1:7">
      <c r="A24" s="4" t="s">
        <v>21</v>
      </c>
      <c r="B24" s="4">
        <f>B23+100</f>
        <v>1200</v>
      </c>
      <c r="C24" s="4" t="s">
        <v>7</v>
      </c>
      <c r="E24" s="4" t="s">
        <v>27</v>
      </c>
      <c r="F24" s="4">
        <f>2*B17*(B14/2000-B9/2000)</f>
        <v>811.25000000000011</v>
      </c>
      <c r="G24" s="4" t="s">
        <v>28</v>
      </c>
    </row>
    <row r="25" spans="1:7">
      <c r="A25" s="4" t="s">
        <v>22</v>
      </c>
      <c r="B25" s="5" t="str">
        <f>IF(B24&gt;600,"Okay","Not Okay")</f>
        <v>Okay</v>
      </c>
      <c r="C25" s="4"/>
      <c r="E25" s="4" t="s">
        <v>30</v>
      </c>
      <c r="F25" s="4">
        <f>F24*10^6/(1000*B26^2)</f>
        <v>0.63532774688699201</v>
      </c>
      <c r="G25" s="4"/>
    </row>
    <row r="26" spans="1:7">
      <c r="A26" s="4" t="s">
        <v>25</v>
      </c>
      <c r="B26" s="4">
        <f>B24-B6-B7/2</f>
        <v>1130</v>
      </c>
      <c r="C26" s="4" t="s">
        <v>7</v>
      </c>
      <c r="E26" s="4" t="s">
        <v>31</v>
      </c>
      <c r="F26" s="4">
        <f>0.5*B3/B4*(1-SQRT(1-((4.598*F25)/B3)))*1000*B26</f>
        <v>1692.7620712362241</v>
      </c>
      <c r="G26" s="4" t="s">
        <v>32</v>
      </c>
    </row>
    <row r="27" spans="1:7">
      <c r="E27" s="4" t="s">
        <v>44</v>
      </c>
      <c r="F27" s="4">
        <f>B35/F26*1000</f>
        <v>185.49564958688248</v>
      </c>
      <c r="G27" s="4" t="s">
        <v>7</v>
      </c>
    </row>
    <row r="28" spans="1:7">
      <c r="A28" s="3" t="s">
        <v>26</v>
      </c>
      <c r="B28" s="4"/>
      <c r="C28" s="4"/>
      <c r="D28" s="6"/>
      <c r="E28" s="4" t="s">
        <v>37</v>
      </c>
      <c r="F28" s="4">
        <f>FLOOR(F27,25)</f>
        <v>175</v>
      </c>
      <c r="G28" s="4" t="s">
        <v>7</v>
      </c>
    </row>
    <row r="29" spans="1:7">
      <c r="A29" s="3" t="s">
        <v>42</v>
      </c>
      <c r="B29" s="4"/>
      <c r="C29" s="4"/>
      <c r="D29" s="6"/>
      <c r="E29" s="4" t="s">
        <v>45</v>
      </c>
      <c r="F29" s="4">
        <f>B35/F28*1000</f>
        <v>1794.2857142857142</v>
      </c>
      <c r="G29" s="4" t="s">
        <v>32</v>
      </c>
    </row>
    <row r="30" spans="1:7">
      <c r="A30" s="4" t="s">
        <v>27</v>
      </c>
      <c r="B30" s="4">
        <f>2*B17*(B14/2000-B8/2000)</f>
        <v>1504.5</v>
      </c>
      <c r="C30" s="4" t="s">
        <v>28</v>
      </c>
      <c r="D30" s="6"/>
      <c r="E30" s="4" t="s">
        <v>46</v>
      </c>
      <c r="F30" s="4">
        <f>F29/(1000*B26)*100</f>
        <v>0.15878634639696587</v>
      </c>
      <c r="G30" s="4" t="s">
        <v>40</v>
      </c>
    </row>
    <row r="31" spans="1:7">
      <c r="A31" s="4" t="s">
        <v>30</v>
      </c>
      <c r="B31" s="4">
        <f>B30*10^6/(1000*B26^2)</f>
        <v>1.178244185135876</v>
      </c>
      <c r="C31" s="4"/>
      <c r="D31" s="6"/>
      <c r="E31" s="4"/>
      <c r="F31" s="4"/>
      <c r="G31" s="4"/>
    </row>
    <row r="32" spans="1:7">
      <c r="A32" s="4" t="s">
        <v>31</v>
      </c>
      <c r="B32" s="4">
        <f>0.5*B3/B4*(1-SQRT(1-((4.598*B31)/B3)))*1000*B26</f>
        <v>3213.2069124191471</v>
      </c>
      <c r="C32" s="4" t="s">
        <v>32</v>
      </c>
      <c r="D32" s="6"/>
      <c r="E32" s="3" t="s">
        <v>47</v>
      </c>
      <c r="F32" s="4"/>
      <c r="G32" s="4"/>
    </row>
    <row r="33" spans="1:7">
      <c r="A33" s="4" t="s">
        <v>33</v>
      </c>
      <c r="B33" s="4">
        <f>0.12%*1000*B24</f>
        <v>1440</v>
      </c>
      <c r="C33" s="4" t="s">
        <v>32</v>
      </c>
      <c r="D33" s="6"/>
      <c r="E33" s="4" t="s">
        <v>48</v>
      </c>
      <c r="F33" s="4"/>
      <c r="G33" s="4"/>
    </row>
    <row r="34" spans="1:7">
      <c r="A34" s="4" t="s">
        <v>34</v>
      </c>
      <c r="B34" s="4">
        <v>20</v>
      </c>
      <c r="C34" s="4" t="s">
        <v>7</v>
      </c>
      <c r="D34" s="6"/>
      <c r="E34" s="4" t="s">
        <v>49</v>
      </c>
      <c r="F34" s="4">
        <f>0.06%*1000*B24</f>
        <v>720</v>
      </c>
      <c r="G34" s="4" t="s">
        <v>32</v>
      </c>
    </row>
    <row r="35" spans="1:7">
      <c r="A35" s="4" t="s">
        <v>35</v>
      </c>
      <c r="B35" s="4">
        <f>3.14*0.25*B34*B34</f>
        <v>314</v>
      </c>
      <c r="C35" s="4" t="s">
        <v>32</v>
      </c>
      <c r="D35" s="6"/>
      <c r="E35" s="4" t="s">
        <v>50</v>
      </c>
      <c r="F35" s="4">
        <v>12</v>
      </c>
      <c r="G35" s="4" t="s">
        <v>7</v>
      </c>
    </row>
    <row r="36" spans="1:7">
      <c r="A36" s="4" t="s">
        <v>36</v>
      </c>
      <c r="B36" s="4">
        <f>B35/B32*1000</f>
        <v>97.721686949688802</v>
      </c>
      <c r="C36" s="4" t="s">
        <v>7</v>
      </c>
      <c r="D36" s="6"/>
      <c r="E36" s="4" t="s">
        <v>51</v>
      </c>
      <c r="F36" s="4">
        <f>0.25*3.14*F35*F35</f>
        <v>113.03999999999999</v>
      </c>
      <c r="G36" s="4" t="s">
        <v>32</v>
      </c>
    </row>
    <row r="37" spans="1:7">
      <c r="A37" s="4" t="s">
        <v>37</v>
      </c>
      <c r="B37" s="4">
        <f>FLOOR(B36,10)</f>
        <v>90</v>
      </c>
      <c r="C37" s="4" t="s">
        <v>7</v>
      </c>
      <c r="D37" s="6"/>
      <c r="E37" s="4" t="s">
        <v>44</v>
      </c>
      <c r="F37" s="4">
        <f>F36/F34*1000</f>
        <v>157</v>
      </c>
      <c r="G37" s="4" t="s">
        <v>7</v>
      </c>
    </row>
    <row r="38" spans="1:7">
      <c r="A38" s="4" t="s">
        <v>10</v>
      </c>
      <c r="B38" s="4">
        <f>B37</f>
        <v>90</v>
      </c>
      <c r="C38" s="4" t="s">
        <v>7</v>
      </c>
      <c r="D38" s="6" t="s">
        <v>38</v>
      </c>
      <c r="E38" s="4" t="s">
        <v>37</v>
      </c>
      <c r="F38" s="4">
        <f>FLOOR(F37,10)</f>
        <v>150</v>
      </c>
      <c r="G38" s="4" t="s">
        <v>7</v>
      </c>
    </row>
    <row r="39" spans="1:7">
      <c r="A39" s="4" t="s">
        <v>39</v>
      </c>
      <c r="B39" s="4">
        <f>B35/B38*1000</f>
        <v>3488.8888888888891</v>
      </c>
      <c r="C39" s="4" t="s">
        <v>32</v>
      </c>
      <c r="D39" s="6"/>
      <c r="E39" s="4" t="s">
        <v>52</v>
      </c>
      <c r="F39" s="4">
        <f>F36/F38*1000</f>
        <v>753.59999999999991</v>
      </c>
      <c r="G39" s="4" t="s">
        <v>32</v>
      </c>
    </row>
    <row r="40" spans="1:7">
      <c r="A40" s="4" t="s">
        <v>41</v>
      </c>
      <c r="B40" s="4">
        <f>B39/(1000*B26)*100</f>
        <v>0.30875122910521147</v>
      </c>
      <c r="C40" s="4" t="s">
        <v>40</v>
      </c>
      <c r="D40" s="6"/>
      <c r="E40" s="4" t="s">
        <v>46</v>
      </c>
      <c r="F40" s="4">
        <f>F39/(1000*B26)*100</f>
        <v>6.6690265486725658E-2</v>
      </c>
      <c r="G40" s="4" t="s">
        <v>40</v>
      </c>
    </row>
  </sheetData>
  <mergeCells count="1">
    <mergeCell ref="A1:K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S33"/>
  <sheetViews>
    <sheetView tabSelected="1" workbookViewId="0">
      <selection activeCell="M11" sqref="M11"/>
    </sheetView>
  </sheetViews>
  <sheetFormatPr defaultColWidth="8.85546875" defaultRowHeight="15"/>
  <cols>
    <col min="1" max="1" width="33.140625" style="1" bestFit="1" customWidth="1"/>
    <col min="2" max="2" width="8.85546875" style="1"/>
    <col min="3" max="3" width="9.5703125" style="1" bestFit="1" customWidth="1"/>
    <col min="4" max="4" width="10.140625" style="1" bestFit="1" customWidth="1"/>
    <col min="5" max="5" width="8.85546875" style="1"/>
    <col min="6" max="6" width="33.85546875" style="1" bestFit="1" customWidth="1"/>
    <col min="7" max="8" width="8.85546875" style="1"/>
    <col min="9" max="9" width="33.85546875" style="1" bestFit="1" customWidth="1"/>
    <col min="10" max="10" width="8.85546875" style="1"/>
    <col min="11" max="11" width="22" style="1" bestFit="1" customWidth="1"/>
    <col min="12" max="12" width="5.85546875" style="1" customWidth="1"/>
    <col min="13" max="13" width="22.7109375" style="1" bestFit="1" customWidth="1"/>
    <col min="14" max="16384" width="8.85546875" style="1"/>
  </cols>
  <sheetData>
    <row r="1" spans="1:17" ht="15.75" thickBot="1">
      <c r="A1" s="25" t="s">
        <v>108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7"/>
    </row>
    <row r="2" spans="1:17" ht="15.75">
      <c r="A2" s="23" t="s">
        <v>89</v>
      </c>
      <c r="B2" s="24"/>
      <c r="C2" s="24"/>
      <c r="D2" s="24"/>
      <c r="E2" s="9"/>
      <c r="F2" s="10" t="s">
        <v>58</v>
      </c>
      <c r="G2" s="10" t="s">
        <v>57</v>
      </c>
      <c r="H2" s="10" t="s">
        <v>56</v>
      </c>
      <c r="I2" s="10" t="s">
        <v>55</v>
      </c>
      <c r="J2" s="10" t="s">
        <v>54</v>
      </c>
      <c r="K2" s="10" t="s">
        <v>53</v>
      </c>
      <c r="L2" s="9"/>
      <c r="M2" s="9" t="s">
        <v>110</v>
      </c>
      <c r="N2" s="9"/>
      <c r="O2" s="9"/>
      <c r="P2" s="9"/>
      <c r="Q2" s="11"/>
    </row>
    <row r="3" spans="1:17">
      <c r="A3" s="12" t="s">
        <v>88</v>
      </c>
      <c r="B3" s="10">
        <v>0.45</v>
      </c>
      <c r="C3" s="10" t="s">
        <v>66</v>
      </c>
      <c r="D3" s="9"/>
      <c r="E3" s="9"/>
      <c r="F3" s="4">
        <v>1</v>
      </c>
      <c r="G3" s="4">
        <v>0.625</v>
      </c>
      <c r="H3" s="8">
        <f>G3*G3</f>
        <v>0.390625</v>
      </c>
      <c r="I3" s="4">
        <v>0.625</v>
      </c>
      <c r="J3" s="8">
        <f>I3*I3</f>
        <v>0.390625</v>
      </c>
      <c r="K3" s="7">
        <f>(B28/B4)+B31*I3/J7-B32*G3/H7</f>
        <v>304.73925000000003</v>
      </c>
      <c r="L3" s="9"/>
      <c r="M3" s="9" t="s">
        <v>71</v>
      </c>
      <c r="N3" s="9" t="s">
        <v>111</v>
      </c>
      <c r="O3" s="9" t="s">
        <v>112</v>
      </c>
      <c r="P3" s="9"/>
      <c r="Q3" s="11"/>
    </row>
    <row r="4" spans="1:17">
      <c r="A4" s="13" t="s">
        <v>87</v>
      </c>
      <c r="B4" s="4">
        <v>4</v>
      </c>
      <c r="C4" s="4"/>
      <c r="D4" s="9"/>
      <c r="E4" s="9"/>
      <c r="F4" s="4">
        <v>2</v>
      </c>
      <c r="G4" s="4">
        <v>0.625</v>
      </c>
      <c r="H4" s="8">
        <f>G4*G4</f>
        <v>0.390625</v>
      </c>
      <c r="I4" s="4">
        <v>0.625</v>
      </c>
      <c r="J4" s="8">
        <f>I4*I4</f>
        <v>0.390625</v>
      </c>
      <c r="K4" s="7">
        <f>(B28/B4)+B31*I3/J7+B32*G3/H7</f>
        <v>223.13925</v>
      </c>
      <c r="L4" s="9"/>
      <c r="M4" s="9"/>
      <c r="N4" s="9">
        <v>2</v>
      </c>
      <c r="O4" s="9">
        <v>2</v>
      </c>
      <c r="P4" s="9" t="s">
        <v>66</v>
      </c>
      <c r="Q4" s="11"/>
    </row>
    <row r="5" spans="1:17">
      <c r="A5" s="13" t="s">
        <v>86</v>
      </c>
      <c r="B5" s="4">
        <v>25</v>
      </c>
      <c r="C5" s="4" t="s">
        <v>84</v>
      </c>
      <c r="D5" s="9"/>
      <c r="E5" s="9"/>
      <c r="F5" s="4">
        <v>3</v>
      </c>
      <c r="G5" s="4">
        <v>0.625</v>
      </c>
      <c r="H5" s="8">
        <f>G5*G5</f>
        <v>0.390625</v>
      </c>
      <c r="I5" s="4">
        <v>0.625</v>
      </c>
      <c r="J5" s="8">
        <f>I5*I5</f>
        <v>0.390625</v>
      </c>
      <c r="K5" s="7">
        <f>(B28/B4)-B31*I3/J7-B32*G3/H7</f>
        <v>451.93924999999996</v>
      </c>
      <c r="L5" s="9"/>
      <c r="M5" s="9" t="s">
        <v>113</v>
      </c>
      <c r="N5" s="9">
        <v>400</v>
      </c>
      <c r="O5" s="9" t="s">
        <v>114</v>
      </c>
      <c r="P5" s="9"/>
      <c r="Q5" s="11"/>
    </row>
    <row r="6" spans="1:17">
      <c r="A6" s="13" t="s">
        <v>85</v>
      </c>
      <c r="B6" s="4">
        <v>550</v>
      </c>
      <c r="C6" s="4" t="s">
        <v>84</v>
      </c>
      <c r="D6" s="9"/>
      <c r="E6" s="9"/>
      <c r="F6" s="4">
        <v>4</v>
      </c>
      <c r="G6" s="4">
        <v>0.625</v>
      </c>
      <c r="H6" s="8">
        <f>G6*G6</f>
        <v>0.390625</v>
      </c>
      <c r="I6" s="4">
        <v>0.625</v>
      </c>
      <c r="J6" s="8">
        <f>I6*I6</f>
        <v>0.390625</v>
      </c>
      <c r="K6" s="7">
        <f>(B28/B4)-B31*I3/J7+B32*G3/H7</f>
        <v>370.33924999999994</v>
      </c>
      <c r="L6" s="9"/>
      <c r="M6" s="9" t="s">
        <v>115</v>
      </c>
      <c r="N6" s="9">
        <f>B17*1.1/N5</f>
        <v>3.3770000000000007</v>
      </c>
      <c r="O6" s="9"/>
      <c r="P6" s="9"/>
      <c r="Q6" s="11"/>
    </row>
    <row r="7" spans="1:17">
      <c r="A7" s="13" t="s">
        <v>83</v>
      </c>
      <c r="B7" s="4">
        <v>0.3</v>
      </c>
      <c r="C7" s="4" t="s">
        <v>66</v>
      </c>
      <c r="D7" s="9"/>
      <c r="E7" s="9"/>
      <c r="F7" s="4"/>
      <c r="G7" s="4"/>
      <c r="H7" s="8">
        <f>SUM(H3:H6)</f>
        <v>1.5625</v>
      </c>
      <c r="I7" s="4"/>
      <c r="J7" s="8">
        <f>SUM(J3:J6)</f>
        <v>1.5625</v>
      </c>
      <c r="K7" s="4"/>
      <c r="L7" s="9"/>
      <c r="M7" s="9"/>
      <c r="N7" s="9">
        <f>SQRT(N6)</f>
        <v>1.8376615575235828</v>
      </c>
      <c r="O7" s="9"/>
      <c r="P7" s="9"/>
      <c r="Q7" s="11"/>
    </row>
    <row r="8" spans="1:17">
      <c r="A8" s="13" t="s">
        <v>82</v>
      </c>
      <c r="B8" s="4">
        <v>0.6</v>
      </c>
      <c r="C8" s="4" t="s">
        <v>66</v>
      </c>
      <c r="D8" s="9"/>
      <c r="E8" s="9"/>
      <c r="F8" s="9"/>
      <c r="G8" s="9"/>
      <c r="H8" s="9"/>
      <c r="I8" s="9"/>
      <c r="J8" s="9"/>
      <c r="K8" s="9"/>
      <c r="L8" s="9"/>
      <c r="M8" s="9" t="s">
        <v>116</v>
      </c>
      <c r="N8" s="9">
        <f>B17*1.5/(N4*O4)</f>
        <v>460.5</v>
      </c>
      <c r="O8" s="9"/>
      <c r="P8" s="9"/>
      <c r="Q8" s="11"/>
    </row>
    <row r="9" spans="1:17">
      <c r="A9" s="13" t="s">
        <v>81</v>
      </c>
      <c r="B9" s="4">
        <v>0.15</v>
      </c>
      <c r="C9" s="4" t="s">
        <v>66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11"/>
    </row>
    <row r="10" spans="1:17">
      <c r="A10" s="13" t="s">
        <v>98</v>
      </c>
      <c r="B10" s="4">
        <v>60</v>
      </c>
      <c r="C10" s="4" t="s">
        <v>7</v>
      </c>
      <c r="D10" s="9"/>
      <c r="E10" s="9"/>
      <c r="F10" s="3" t="s">
        <v>26</v>
      </c>
      <c r="G10" s="4"/>
      <c r="H10" s="4"/>
      <c r="I10" s="9"/>
      <c r="J10" s="9"/>
      <c r="K10" s="9"/>
      <c r="L10" s="9"/>
      <c r="M10" s="9" t="s">
        <v>117</v>
      </c>
      <c r="N10" s="9"/>
      <c r="O10" s="9"/>
      <c r="P10" s="9"/>
      <c r="Q10" s="11"/>
    </row>
    <row r="11" spans="1:17">
      <c r="A11" s="13" t="s">
        <v>24</v>
      </c>
      <c r="B11" s="4">
        <v>20</v>
      </c>
      <c r="C11" s="4" t="s">
        <v>7</v>
      </c>
      <c r="D11" s="9"/>
      <c r="E11" s="9"/>
      <c r="F11" s="4" t="s">
        <v>91</v>
      </c>
      <c r="G11" s="4">
        <v>1</v>
      </c>
      <c r="H11" s="4">
        <v>2</v>
      </c>
      <c r="I11" s="9"/>
      <c r="J11" s="9"/>
      <c r="K11" s="9"/>
      <c r="L11" s="9"/>
      <c r="M11" s="9"/>
      <c r="N11" s="9"/>
      <c r="O11" s="9"/>
      <c r="P11" s="9"/>
      <c r="Q11" s="11"/>
    </row>
    <row r="12" spans="1:17">
      <c r="A12" s="13" t="s">
        <v>12</v>
      </c>
      <c r="B12" s="4">
        <v>250</v>
      </c>
      <c r="C12" s="4" t="s">
        <v>7</v>
      </c>
      <c r="D12" s="9"/>
      <c r="E12" s="9"/>
      <c r="F12" s="4" t="s">
        <v>92</v>
      </c>
      <c r="G12" s="7">
        <f>K5+K3</f>
        <v>756.67849999999999</v>
      </c>
      <c r="H12" s="7">
        <f>K4+K6</f>
        <v>593.47849999999994</v>
      </c>
      <c r="I12" s="4" t="s">
        <v>64</v>
      </c>
      <c r="J12" s="9"/>
      <c r="K12" s="9"/>
      <c r="L12" s="9"/>
      <c r="M12" s="9"/>
      <c r="N12" s="9"/>
      <c r="O12" s="9"/>
      <c r="P12" s="9"/>
      <c r="Q12" s="11"/>
    </row>
    <row r="13" spans="1:17">
      <c r="A13" s="13" t="s">
        <v>13</v>
      </c>
      <c r="B13" s="4">
        <f>B12+B3*1000/2</f>
        <v>475</v>
      </c>
      <c r="C13" s="4" t="s">
        <v>7</v>
      </c>
      <c r="D13" s="9"/>
      <c r="E13" s="9"/>
      <c r="F13" s="4" t="s">
        <v>93</v>
      </c>
      <c r="G13" s="4">
        <v>1</v>
      </c>
      <c r="H13" s="4">
        <v>2</v>
      </c>
      <c r="I13" s="9"/>
      <c r="J13" s="9"/>
      <c r="K13" s="9"/>
      <c r="L13" s="9"/>
      <c r="M13" s="9"/>
      <c r="N13" s="9"/>
      <c r="O13" s="9"/>
      <c r="P13" s="9"/>
      <c r="Q13" s="11"/>
    </row>
    <row r="14" spans="1:17">
      <c r="A14" s="13" t="s">
        <v>80</v>
      </c>
      <c r="B14" s="4">
        <v>18</v>
      </c>
      <c r="C14" s="4" t="s">
        <v>79</v>
      </c>
      <c r="D14" s="9"/>
      <c r="E14" s="9"/>
      <c r="F14" s="4" t="s">
        <v>92</v>
      </c>
      <c r="G14" s="7">
        <f>K5+K6</f>
        <v>822.27849999999989</v>
      </c>
      <c r="H14" s="7">
        <f>K3+K4</f>
        <v>527.87850000000003</v>
      </c>
      <c r="I14" s="4" t="s">
        <v>64</v>
      </c>
      <c r="J14" s="9"/>
      <c r="K14" s="9"/>
      <c r="L14" s="9"/>
      <c r="M14" s="9"/>
      <c r="N14" s="9"/>
      <c r="O14" s="9"/>
      <c r="P14" s="9"/>
      <c r="Q14" s="11"/>
    </row>
    <row r="15" spans="1:17">
      <c r="A15" s="13" t="s">
        <v>78</v>
      </c>
      <c r="B15" s="4">
        <v>0.15</v>
      </c>
      <c r="C15" s="4" t="s">
        <v>66</v>
      </c>
      <c r="D15" s="9"/>
      <c r="E15" s="9"/>
      <c r="F15" s="4"/>
      <c r="G15" s="4"/>
      <c r="H15" s="4"/>
      <c r="I15" s="9"/>
      <c r="J15" s="9"/>
      <c r="K15" s="9"/>
      <c r="L15" s="9"/>
      <c r="M15" s="9"/>
      <c r="N15" s="9"/>
      <c r="O15" s="9"/>
      <c r="P15" s="9"/>
      <c r="Q15" s="11"/>
    </row>
    <row r="16" spans="1:17">
      <c r="A16" s="20" t="s">
        <v>77</v>
      </c>
      <c r="B16" s="21"/>
      <c r="C16" s="22"/>
      <c r="D16" s="9"/>
      <c r="E16" s="9"/>
      <c r="F16" s="4" t="s">
        <v>90</v>
      </c>
      <c r="G16" s="4">
        <f>G12*(G3-B8/2)-B26</f>
        <v>123.7635125</v>
      </c>
      <c r="H16" s="4" t="s">
        <v>59</v>
      </c>
      <c r="I16" s="9"/>
      <c r="J16" s="9"/>
      <c r="K16" s="9"/>
      <c r="L16" s="9"/>
      <c r="M16" s="9"/>
      <c r="N16" s="9"/>
      <c r="O16" s="9"/>
      <c r="P16" s="9"/>
      <c r="Q16" s="11"/>
    </row>
    <row r="17" spans="1:19">
      <c r="A17" s="13" t="s">
        <v>76</v>
      </c>
      <c r="B17" s="4">
        <v>1228</v>
      </c>
      <c r="C17" s="4" t="s">
        <v>75</v>
      </c>
      <c r="D17" s="4">
        <v>-124</v>
      </c>
      <c r="E17" s="9"/>
      <c r="F17" s="4" t="s">
        <v>94</v>
      </c>
      <c r="G17" s="4">
        <f>G14*(G3-B7/2)-B26</f>
        <v>268.42528749999997</v>
      </c>
      <c r="H17" s="4" t="s">
        <v>59</v>
      </c>
      <c r="I17" s="9"/>
      <c r="J17" s="9"/>
      <c r="K17" s="9"/>
      <c r="L17" s="9"/>
      <c r="M17" s="9"/>
      <c r="N17" s="9"/>
      <c r="O17" s="9"/>
      <c r="P17" s="9"/>
      <c r="Q17" s="11"/>
      <c r="S17"/>
    </row>
    <row r="18" spans="1:19">
      <c r="A18" s="13" t="s">
        <v>74</v>
      </c>
      <c r="B18" s="4">
        <v>44</v>
      </c>
      <c r="C18" s="4" t="s">
        <v>73</v>
      </c>
      <c r="D18" s="4">
        <v>-58</v>
      </c>
      <c r="E18" s="9"/>
      <c r="F18" s="4" t="s">
        <v>95</v>
      </c>
      <c r="G18" s="4">
        <f>B25-B10/1000-B11/2000</f>
        <v>0.92999999999999994</v>
      </c>
      <c r="H18" s="4" t="s">
        <v>66</v>
      </c>
      <c r="I18" s="9"/>
      <c r="J18" s="9"/>
      <c r="K18" s="9"/>
      <c r="L18" s="9"/>
      <c r="M18" s="9"/>
      <c r="N18" s="9"/>
      <c r="O18" s="9"/>
      <c r="P18" s="9"/>
      <c r="Q18" s="11"/>
    </row>
    <row r="19" spans="1:19">
      <c r="A19" s="13" t="s">
        <v>72</v>
      </c>
      <c r="B19" s="4">
        <v>-60</v>
      </c>
      <c r="C19" s="10"/>
      <c r="D19" s="9"/>
      <c r="E19" s="9"/>
      <c r="F19" s="4" t="s">
        <v>96</v>
      </c>
      <c r="G19" s="4">
        <f>B25-B10/1000-(B11/1000+B11/2000)</f>
        <v>0.90999999999999992</v>
      </c>
      <c r="H19" s="4" t="s">
        <v>66</v>
      </c>
      <c r="I19" s="9"/>
      <c r="J19" s="9"/>
      <c r="K19" s="9"/>
      <c r="L19" s="9"/>
      <c r="M19" s="9"/>
      <c r="N19" s="9"/>
      <c r="O19" s="9"/>
      <c r="P19" s="9"/>
      <c r="Q19" s="11"/>
    </row>
    <row r="20" spans="1:19">
      <c r="A20" s="14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11"/>
    </row>
    <row r="21" spans="1:19">
      <c r="A21" s="28" t="s">
        <v>71</v>
      </c>
      <c r="B21" s="29"/>
      <c r="C21" s="29"/>
      <c r="D21" s="15"/>
      <c r="E21" s="9"/>
      <c r="F21" s="3" t="s">
        <v>97</v>
      </c>
      <c r="G21" s="4"/>
      <c r="H21" s="4"/>
      <c r="I21" s="3" t="s">
        <v>104</v>
      </c>
      <c r="J21" s="4"/>
      <c r="K21" s="4"/>
      <c r="L21" s="9"/>
      <c r="M21" s="9"/>
      <c r="N21" s="9"/>
      <c r="O21" s="9"/>
      <c r="P21" s="9"/>
      <c r="Q21" s="11"/>
    </row>
    <row r="22" spans="1:19">
      <c r="A22" s="13" t="s">
        <v>70</v>
      </c>
      <c r="B22" s="4">
        <f>2.5*B3</f>
        <v>1.125</v>
      </c>
      <c r="C22" s="4" t="s">
        <v>66</v>
      </c>
      <c r="D22" s="9"/>
      <c r="E22" s="9"/>
      <c r="F22" s="4" t="s">
        <v>30</v>
      </c>
      <c r="G22" s="4">
        <f>G16*10^6/(B23*1000*(G18*1000)^2)</f>
        <v>6.8140832411123786E-2</v>
      </c>
      <c r="H22" s="4"/>
      <c r="I22" s="4" t="s">
        <v>30</v>
      </c>
      <c r="J22" s="4">
        <f>G17*10^6/(B24*1000*(G19*1000)^2)</f>
        <v>0.15435522941213681</v>
      </c>
      <c r="K22" s="4"/>
      <c r="L22" s="9"/>
      <c r="M22" s="9"/>
      <c r="N22" s="9"/>
      <c r="O22" s="9"/>
      <c r="P22" s="9"/>
      <c r="Q22" s="11"/>
    </row>
    <row r="23" spans="1:19">
      <c r="A23" s="13" t="s">
        <v>69</v>
      </c>
      <c r="B23" s="4">
        <f>ROUNDUP(B22+2*B13/1000,1)</f>
        <v>2.1</v>
      </c>
      <c r="C23" s="4" t="s">
        <v>66</v>
      </c>
      <c r="D23" s="9"/>
      <c r="E23" s="9"/>
      <c r="F23" s="4" t="s">
        <v>31</v>
      </c>
      <c r="G23" s="4">
        <f>(0.5*B5/B6)*(1-SQRT(1-(4.598*G22)/(B5)))*B24*1000*G18*1000</f>
        <v>279.01213895728887</v>
      </c>
      <c r="H23" s="4" t="s">
        <v>32</v>
      </c>
      <c r="I23" s="4" t="s">
        <v>31</v>
      </c>
      <c r="J23" s="4">
        <f>(0.5*B5/B6)*(1-SQRT(1-(4.598*J22)/(B5)))*B24*1000*G19*1000</f>
        <v>620.93188262714932</v>
      </c>
      <c r="K23" s="4" t="s">
        <v>32</v>
      </c>
      <c r="L23" s="9"/>
      <c r="M23" s="9"/>
      <c r="N23" s="9"/>
      <c r="O23" s="9"/>
      <c r="P23" s="9"/>
      <c r="Q23" s="11"/>
    </row>
    <row r="24" spans="1:19">
      <c r="A24" s="13" t="s">
        <v>68</v>
      </c>
      <c r="B24" s="4">
        <f>ROUNDUP(B22+2*B13/1000,1)</f>
        <v>2.1</v>
      </c>
      <c r="C24" s="4" t="s">
        <v>66</v>
      </c>
      <c r="D24" s="9"/>
      <c r="E24" s="9"/>
      <c r="F24" s="4" t="s">
        <v>99</v>
      </c>
      <c r="G24" s="4">
        <f>0.12%*B24*1000*G18*1000</f>
        <v>2343.5999999999995</v>
      </c>
      <c r="H24" s="4" t="s">
        <v>32</v>
      </c>
      <c r="I24" s="4" t="s">
        <v>99</v>
      </c>
      <c r="J24" s="4">
        <f>0.12%*B24*1000*G19*1000</f>
        <v>2293.1999999999994</v>
      </c>
      <c r="K24" s="4" t="s">
        <v>32</v>
      </c>
      <c r="L24" s="9"/>
      <c r="M24" s="9"/>
      <c r="N24" s="9"/>
      <c r="O24" s="9"/>
      <c r="P24" s="9"/>
      <c r="Q24" s="11"/>
    </row>
    <row r="25" spans="1:19">
      <c r="A25" s="13" t="s">
        <v>67</v>
      </c>
      <c r="B25" s="4">
        <f>IF(B3&lt;0.55,2*B3+0.1,(1/3)*(B3*8+0.6))</f>
        <v>1</v>
      </c>
      <c r="C25" s="4" t="s">
        <v>66</v>
      </c>
      <c r="D25" s="9"/>
      <c r="E25" s="9"/>
      <c r="F25" s="4" t="s">
        <v>100</v>
      </c>
      <c r="G25" s="4">
        <v>16</v>
      </c>
      <c r="H25" s="4" t="s">
        <v>7</v>
      </c>
      <c r="I25" s="4" t="s">
        <v>100</v>
      </c>
      <c r="J25" s="4">
        <v>16</v>
      </c>
      <c r="K25" s="4" t="s">
        <v>7</v>
      </c>
      <c r="L25" s="9"/>
      <c r="M25" s="9"/>
      <c r="N25" s="9"/>
      <c r="O25" s="9"/>
      <c r="P25" s="9"/>
      <c r="Q25" s="11"/>
    </row>
    <row r="26" spans="1:19">
      <c r="A26" s="13" t="s">
        <v>109</v>
      </c>
      <c r="B26" s="4">
        <f>B23*B24*B9*B14+B23*B24*B25*25</f>
        <v>122.157</v>
      </c>
      <c r="C26" s="4" t="s">
        <v>64</v>
      </c>
      <c r="D26" s="9"/>
      <c r="E26" s="9"/>
      <c r="F26" s="4" t="s">
        <v>101</v>
      </c>
      <c r="G26" s="4">
        <v>16</v>
      </c>
      <c r="H26" s="4" t="s">
        <v>7</v>
      </c>
      <c r="I26" s="4" t="s">
        <v>101</v>
      </c>
      <c r="J26" s="4">
        <v>16</v>
      </c>
      <c r="K26" s="4" t="s">
        <v>7</v>
      </c>
      <c r="L26" s="9"/>
      <c r="M26" s="9"/>
      <c r="N26" s="9"/>
      <c r="O26" s="9"/>
      <c r="P26" s="9"/>
      <c r="Q26" s="11"/>
    </row>
    <row r="27" spans="1:19">
      <c r="A27" s="14"/>
      <c r="B27" s="9"/>
      <c r="C27" s="9"/>
      <c r="D27" s="9"/>
      <c r="E27" s="9"/>
      <c r="F27" s="4" t="s">
        <v>102</v>
      </c>
      <c r="G27" s="4">
        <f>3.14*0.25*G25^2/G24*1000</f>
        <v>85.748421232292216</v>
      </c>
      <c r="H27" s="4" t="s">
        <v>7</v>
      </c>
      <c r="I27" s="4" t="s">
        <v>102</v>
      </c>
      <c r="J27" s="4">
        <f>3.14*0.25*J25^2/J24*1000</f>
        <v>87.633001918716232</v>
      </c>
      <c r="K27" s="4" t="s">
        <v>7</v>
      </c>
      <c r="L27" s="9"/>
      <c r="M27" s="9"/>
      <c r="N27" s="9"/>
      <c r="O27" s="9"/>
      <c r="P27" s="9"/>
      <c r="Q27" s="11"/>
    </row>
    <row r="28" spans="1:19">
      <c r="A28" s="13" t="s">
        <v>65</v>
      </c>
      <c r="B28" s="8">
        <f>B17+B23*B24*B9*B14+B23*B24*B25*25</f>
        <v>1350.1569999999999</v>
      </c>
      <c r="C28" s="4" t="s">
        <v>64</v>
      </c>
      <c r="D28" s="9"/>
      <c r="E28" s="9"/>
      <c r="F28" s="4" t="s">
        <v>106</v>
      </c>
      <c r="G28" s="4">
        <f>FLOOR(G27,15)</f>
        <v>75</v>
      </c>
      <c r="H28" s="4" t="s">
        <v>7</v>
      </c>
      <c r="I28" s="4" t="s">
        <v>106</v>
      </c>
      <c r="J28" s="4">
        <f>FLOOR(J27,15)</f>
        <v>75</v>
      </c>
      <c r="K28" s="4" t="s">
        <v>7</v>
      </c>
      <c r="L28" s="9"/>
      <c r="M28" s="9"/>
      <c r="N28" s="9"/>
      <c r="O28" s="9"/>
      <c r="P28" s="9"/>
      <c r="Q28" s="11"/>
    </row>
    <row r="29" spans="1:19">
      <c r="A29" s="13" t="s">
        <v>63</v>
      </c>
      <c r="B29" s="4">
        <f>B19*B25</f>
        <v>-60</v>
      </c>
      <c r="C29" s="4" t="s">
        <v>59</v>
      </c>
      <c r="D29" s="9"/>
      <c r="E29" s="9"/>
      <c r="F29" s="4" t="s">
        <v>107</v>
      </c>
      <c r="G29" s="4">
        <f>3.14*0.25*G26^2/G24*1000</f>
        <v>85.748421232292216</v>
      </c>
      <c r="H29" s="4" t="s">
        <v>7</v>
      </c>
      <c r="I29" s="4" t="s">
        <v>103</v>
      </c>
      <c r="J29" s="4">
        <f>3.14*0.25*J26^2/J24*1000</f>
        <v>87.633001918716232</v>
      </c>
      <c r="K29" s="4" t="s">
        <v>7</v>
      </c>
      <c r="L29" s="9"/>
      <c r="M29" s="9"/>
      <c r="N29" s="9"/>
      <c r="O29" s="9"/>
      <c r="P29" s="9"/>
      <c r="Q29" s="11"/>
    </row>
    <row r="30" spans="1:19">
      <c r="A30" s="13" t="s">
        <v>62</v>
      </c>
      <c r="B30" s="4">
        <f>-B25*B18</f>
        <v>-44</v>
      </c>
      <c r="C30" s="4" t="s">
        <v>59</v>
      </c>
      <c r="D30" s="9"/>
      <c r="E30" s="9"/>
      <c r="F30" s="4" t="s">
        <v>105</v>
      </c>
      <c r="G30" s="4">
        <f>FLOOR(G29,15)</f>
        <v>75</v>
      </c>
      <c r="H30" s="4" t="s">
        <v>7</v>
      </c>
      <c r="I30" s="4" t="s">
        <v>105</v>
      </c>
      <c r="J30" s="4">
        <f>FLOOR(J29,15)</f>
        <v>75</v>
      </c>
      <c r="K30" s="4" t="s">
        <v>7</v>
      </c>
      <c r="L30" s="9"/>
      <c r="M30" s="9"/>
      <c r="N30" s="9"/>
      <c r="O30" s="9"/>
      <c r="P30" s="9"/>
      <c r="Q30" s="11"/>
    </row>
    <row r="31" spans="1:19">
      <c r="A31" s="13" t="s">
        <v>61</v>
      </c>
      <c r="B31" s="4">
        <f>D17+B29</f>
        <v>-184</v>
      </c>
      <c r="C31" s="4" t="s">
        <v>59</v>
      </c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11"/>
    </row>
    <row r="32" spans="1:19">
      <c r="A32" s="13" t="s">
        <v>60</v>
      </c>
      <c r="B32" s="4">
        <f>B30+D18</f>
        <v>-102</v>
      </c>
      <c r="C32" s="4" t="s">
        <v>59</v>
      </c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11"/>
    </row>
    <row r="33" spans="1:17" ht="15.75" thickBot="1">
      <c r="A33" s="16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8"/>
    </row>
  </sheetData>
  <mergeCells count="4">
    <mergeCell ref="A16:C16"/>
    <mergeCell ref="A2:D2"/>
    <mergeCell ref="A1:Q1"/>
    <mergeCell ref="A21:C2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>HP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CAD LAB</dc:creator>
  <cp:lastModifiedBy>CAD LAB</cp:lastModifiedBy>
  <dcterms:created xsi:type="dcterms:W3CDTF">2025-10-09T09:08:16Z</dcterms:created>
  <dcterms:modified xsi:type="dcterms:W3CDTF">2025-10-23T08:56:52Z</dcterms:modified>
</cp:coreProperties>
</file>