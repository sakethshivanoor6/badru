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23250" windowHeight="1245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37" i="1"/>
  <c r="N28"/>
  <c r="N27"/>
  <c r="N24"/>
  <c r="N26"/>
  <c r="N25"/>
  <c r="N23"/>
  <c r="N22"/>
  <c r="S25"/>
  <c r="R16"/>
  <c r="F25"/>
  <c r="J22"/>
  <c r="B48" l="1"/>
  <c r="B49" s="1"/>
  <c r="B50" s="1"/>
  <c r="B39"/>
  <c r="B30"/>
  <c r="B31" s="1"/>
  <c r="B32" s="1"/>
  <c r="B35" s="1"/>
  <c r="B38" s="1"/>
  <c r="B27"/>
  <c r="F4" s="1"/>
  <c r="R31" s="1"/>
  <c r="B23"/>
  <c r="N37" s="1"/>
  <c r="B20"/>
  <c r="F26" s="1"/>
  <c r="B40" l="1"/>
  <c r="B24"/>
  <c r="B25" s="1"/>
  <c r="J21"/>
  <c r="F5" l="1"/>
  <c r="Q32" s="1"/>
  <c r="Q35"/>
  <c r="Q42" s="1"/>
  <c r="B26"/>
  <c r="J23"/>
  <c r="N7" s="1"/>
  <c r="N6"/>
  <c r="B41"/>
  <c r="B44" s="1"/>
  <c r="B45" s="1"/>
  <c r="F6"/>
  <c r="F14"/>
  <c r="J17" l="1"/>
  <c r="O42"/>
  <c r="T42" s="1"/>
  <c r="G6"/>
  <c r="R39"/>
  <c r="J30"/>
  <c r="G5"/>
  <c r="G4"/>
  <c r="F7"/>
  <c r="T31" s="1"/>
  <c r="F15"/>
  <c r="F20"/>
  <c r="G8" l="1"/>
  <c r="F11" s="1"/>
  <c r="F19" s="1"/>
  <c r="G7"/>
  <c r="J31"/>
  <c r="F8"/>
  <c r="F9" s="1"/>
  <c r="F27" s="1"/>
  <c r="F28" s="1"/>
  <c r="F21" l="1"/>
  <c r="F22" s="1"/>
  <c r="F31"/>
  <c r="J3" s="1"/>
  <c r="F10"/>
  <c r="F32"/>
  <c r="J6" l="1"/>
  <c r="N50" s="1"/>
  <c r="F34"/>
  <c r="F33"/>
  <c r="F35" s="1"/>
  <c r="F36" s="1"/>
  <c r="J7"/>
  <c r="V50" s="1"/>
  <c r="J10" l="1"/>
  <c r="J12" l="1"/>
  <c r="P50" s="1"/>
  <c r="J13"/>
  <c r="S50" s="1"/>
  <c r="J19" l="1"/>
  <c r="J18"/>
  <c r="J33"/>
  <c r="J32"/>
  <c r="J20" l="1"/>
  <c r="J34"/>
  <c r="N10" l="1"/>
  <c r="J26"/>
  <c r="J27" s="1"/>
  <c r="N16"/>
  <c r="N19" s="1"/>
  <c r="J37"/>
  <c r="J38" s="1"/>
  <c r="M17" l="1"/>
  <c r="N18"/>
  <c r="N12"/>
  <c r="N13" s="1"/>
  <c r="M11"/>
</calcChain>
</file>

<file path=xl/sharedStrings.xml><?xml version="1.0" encoding="utf-8"?>
<sst xmlns="http://schemas.openxmlformats.org/spreadsheetml/2006/main" count="193" uniqueCount="122">
  <si>
    <t>INPUT DATA</t>
  </si>
  <si>
    <t>HEIGHT OF STEM</t>
  </si>
  <si>
    <t>SBC</t>
  </si>
  <si>
    <t>FCK</t>
  </si>
  <si>
    <t>FY</t>
  </si>
  <si>
    <t>DENSITY OF BACK FILL</t>
  </si>
  <si>
    <t>ANGLE OF INTERNAL FRICTION</t>
  </si>
  <si>
    <t>m</t>
  </si>
  <si>
    <t>KN/sqm</t>
  </si>
  <si>
    <t>N/sqm</t>
  </si>
  <si>
    <t>KN/cum</t>
  </si>
  <si>
    <t xml:space="preserve">Depth of foundation </t>
  </si>
  <si>
    <t>Df</t>
  </si>
  <si>
    <t>Dimensioning of Retaining Wall</t>
  </si>
  <si>
    <t>Thickness of base slab(t)</t>
  </si>
  <si>
    <t>Height of Retaining Wall(H)</t>
  </si>
  <si>
    <t>Width of Base slab (B)</t>
  </si>
  <si>
    <t>Toe projection</t>
  </si>
  <si>
    <t xml:space="preserve">Top Width of Stem </t>
  </si>
  <si>
    <t>Design of Stem.</t>
  </si>
  <si>
    <t>Ka</t>
  </si>
  <si>
    <t>Pau</t>
  </si>
  <si>
    <t>Bending moment due to Earth Pressure</t>
  </si>
  <si>
    <t>Mu</t>
  </si>
  <si>
    <t>kn/m</t>
  </si>
  <si>
    <t>Active Earth Pressure force (Pa)</t>
  </si>
  <si>
    <t>knm</t>
  </si>
  <si>
    <t>Design of depth of Stem</t>
  </si>
  <si>
    <t>d (Mu=Mulim)</t>
  </si>
  <si>
    <t>mm</t>
  </si>
  <si>
    <t>D=d+d'</t>
  </si>
  <si>
    <t>d'</t>
  </si>
  <si>
    <t>dia of Reft</t>
  </si>
  <si>
    <t xml:space="preserve">clear cover </t>
  </si>
  <si>
    <t>Effective depth of Stem d</t>
  </si>
  <si>
    <t>mm.</t>
  </si>
  <si>
    <t>Design of Steel</t>
  </si>
  <si>
    <t xml:space="preserve">Ast </t>
  </si>
  <si>
    <t>sqmm</t>
  </si>
  <si>
    <t xml:space="preserve">Spacing </t>
  </si>
  <si>
    <t>Design of Distributon Reft</t>
  </si>
  <si>
    <t>Ast dis</t>
  </si>
  <si>
    <t xml:space="preserve">D </t>
  </si>
  <si>
    <t>spacing</t>
  </si>
  <si>
    <t>Sections</t>
  </si>
  <si>
    <t>Weights</t>
  </si>
  <si>
    <t>R.Moment</t>
  </si>
  <si>
    <t>Total load W</t>
  </si>
  <si>
    <t>Wu</t>
  </si>
  <si>
    <t>Kn</t>
  </si>
  <si>
    <t>Total Moment M</t>
  </si>
  <si>
    <t>Knm</t>
  </si>
  <si>
    <t>Horizontal Active earth Pressure (pa)</t>
  </si>
  <si>
    <t>Pa</t>
  </si>
  <si>
    <t>Kn/m</t>
  </si>
  <si>
    <t>Eccentricity e</t>
  </si>
  <si>
    <t>Max &amp; min Pressure</t>
  </si>
  <si>
    <t>max pressure</t>
  </si>
  <si>
    <t>Kn/sqm</t>
  </si>
  <si>
    <t>Min Pressure</t>
  </si>
  <si>
    <t>diff b/w max &amp;min</t>
  </si>
  <si>
    <t xml:space="preserve">by similar triangles </t>
  </si>
  <si>
    <t>Pressure after toe from z</t>
  </si>
  <si>
    <t>Pressure after stem from z</t>
  </si>
  <si>
    <t>Bending Moment Calc</t>
  </si>
  <si>
    <t>Toe Slab</t>
  </si>
  <si>
    <t>Mtoe</t>
  </si>
  <si>
    <t>action of  Force at</t>
  </si>
  <si>
    <t>Resistance Force U</t>
  </si>
  <si>
    <t xml:space="preserve">Depth of Slab </t>
  </si>
  <si>
    <t>effective depth d</t>
  </si>
  <si>
    <t xml:space="preserve">Design of Heel slab </t>
  </si>
  <si>
    <t>Wu from backfill</t>
  </si>
  <si>
    <t>Check for Overturning</t>
  </si>
  <si>
    <t>Mo</t>
  </si>
  <si>
    <t>Mr</t>
  </si>
  <si>
    <t>Check for Sliding</t>
  </si>
  <si>
    <t>Input data for Coehsive soil at base</t>
  </si>
  <si>
    <t>C</t>
  </si>
  <si>
    <t>Density of soil</t>
  </si>
  <si>
    <t>K1</t>
  </si>
  <si>
    <t>kp</t>
  </si>
  <si>
    <t>Pp</t>
  </si>
  <si>
    <t>Fos</t>
  </si>
  <si>
    <t>F = Mr/Mo</t>
  </si>
  <si>
    <t xml:space="preserve">Check for Bearing Capacity </t>
  </si>
  <si>
    <t>e</t>
  </si>
  <si>
    <t>qa</t>
  </si>
  <si>
    <t>qmax</t>
  </si>
  <si>
    <t>qmin</t>
  </si>
  <si>
    <t xml:space="preserve">Fos </t>
  </si>
  <si>
    <t>Resisting Force</t>
  </si>
  <si>
    <t xml:space="preserve">Action of Force at </t>
  </si>
  <si>
    <t xml:space="preserve">Mheal </t>
  </si>
  <si>
    <t>Check for Depth of Heel</t>
  </si>
  <si>
    <t>d</t>
  </si>
  <si>
    <t>Reinforcement Calculations</t>
  </si>
  <si>
    <t>Ast min</t>
  </si>
  <si>
    <t>Spacing</t>
  </si>
  <si>
    <t>For Main reft</t>
  </si>
  <si>
    <t>For Toe Slab</t>
  </si>
  <si>
    <t>Ast</t>
  </si>
  <si>
    <t xml:space="preserve">Hence Ast for Toe </t>
  </si>
  <si>
    <t xml:space="preserve">For Heal Slab </t>
  </si>
  <si>
    <t>Hence Ast for Heel</t>
  </si>
  <si>
    <t>Check for Depth of Toe</t>
  </si>
  <si>
    <t>DESIGN OF RETAINING WALL</t>
  </si>
  <si>
    <t>W1=</t>
  </si>
  <si>
    <t>W2=</t>
  </si>
  <si>
    <t>W3=</t>
  </si>
  <si>
    <t>W4=</t>
  </si>
  <si>
    <t>ALL ARE IN "M" &amp; KN</t>
  </si>
  <si>
    <t>SUMMARY</t>
  </si>
  <si>
    <t>WIDTH OF RETAINING WALL</t>
  </si>
  <si>
    <t>DEPTH OF FOUNDATION</t>
  </si>
  <si>
    <t>STEM TOP WIDTH</t>
  </si>
  <si>
    <t>STEM BOTTOM WIDTH</t>
  </si>
  <si>
    <t>TOE WIDTH</t>
  </si>
  <si>
    <t>TOE &amp;HEAL DEPTH</t>
  </si>
  <si>
    <t>HEAL WIDTH</t>
  </si>
  <si>
    <t>M</t>
  </si>
  <si>
    <t>Middle Third Rule Check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</si>
</sst>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22412</xdr:colOff>
      <xdr:row>33</xdr:row>
      <xdr:rowOff>67234</xdr:rowOff>
    </xdr:from>
    <xdr:to>
      <xdr:col>21</xdr:col>
      <xdr:colOff>11205</xdr:colOff>
      <xdr:row>39</xdr:row>
      <xdr:rowOff>190499</xdr:rowOff>
    </xdr:to>
    <xdr:sp macro="" textlink="">
      <xdr:nvSpPr>
        <xdr:cNvPr id="2" name="Rectangle 1"/>
        <xdr:cNvSpPr/>
      </xdr:nvSpPr>
      <xdr:spPr>
        <a:xfrm>
          <a:off x="14713324" y="6353734"/>
          <a:ext cx="5255557" cy="126626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336177</xdr:colOff>
      <xdr:row>16</xdr:row>
      <xdr:rowOff>179293</xdr:rowOff>
    </xdr:from>
    <xdr:to>
      <xdr:col>18</xdr:col>
      <xdr:colOff>11206</xdr:colOff>
      <xdr:row>33</xdr:row>
      <xdr:rowOff>67234</xdr:rowOff>
    </xdr:to>
    <xdr:sp macro="" textlink="">
      <xdr:nvSpPr>
        <xdr:cNvPr id="3" name="Rectangle 2"/>
        <xdr:cNvSpPr/>
      </xdr:nvSpPr>
      <xdr:spPr>
        <a:xfrm>
          <a:off x="16932089" y="3227293"/>
          <a:ext cx="1019735" cy="312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481856</xdr:colOff>
      <xdr:row>16</xdr:row>
      <xdr:rowOff>190499</xdr:rowOff>
    </xdr:from>
    <xdr:to>
      <xdr:col>16</xdr:col>
      <xdr:colOff>336177</xdr:colOff>
      <xdr:row>33</xdr:row>
      <xdr:rowOff>56028</xdr:rowOff>
    </xdr:to>
    <xdr:cxnSp macro="">
      <xdr:nvCxnSpPr>
        <xdr:cNvPr id="6" name="Straight Connector 5"/>
        <xdr:cNvCxnSpPr/>
      </xdr:nvCxnSpPr>
      <xdr:spPr>
        <a:xfrm rot="5400000">
          <a:off x="14836590" y="4247030"/>
          <a:ext cx="3104029" cy="108696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</xdr:row>
      <xdr:rowOff>0</xdr:rowOff>
    </xdr:from>
    <xdr:to>
      <xdr:col>21</xdr:col>
      <xdr:colOff>0</xdr:colOff>
      <xdr:row>33</xdr:row>
      <xdr:rowOff>67235</xdr:rowOff>
    </xdr:to>
    <xdr:sp macro="" textlink="">
      <xdr:nvSpPr>
        <xdr:cNvPr id="13" name="Rectangle 12"/>
        <xdr:cNvSpPr/>
      </xdr:nvSpPr>
      <xdr:spPr>
        <a:xfrm>
          <a:off x="17940618" y="3238500"/>
          <a:ext cx="2017058" cy="3115235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22411</xdr:colOff>
      <xdr:row>24</xdr:row>
      <xdr:rowOff>123265</xdr:rowOff>
    </xdr:from>
    <xdr:to>
      <xdr:col>17</xdr:col>
      <xdr:colOff>381000</xdr:colOff>
      <xdr:row>25</xdr:row>
      <xdr:rowOff>179294</xdr:rowOff>
    </xdr:to>
    <xdr:sp macro="" textlink="">
      <xdr:nvSpPr>
        <xdr:cNvPr id="14" name="TextBox 13"/>
        <xdr:cNvSpPr txBox="1"/>
      </xdr:nvSpPr>
      <xdr:spPr>
        <a:xfrm>
          <a:off x="17290676" y="4695265"/>
          <a:ext cx="358589" cy="246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01</a:t>
          </a:r>
        </a:p>
      </xdr:txBody>
    </xdr:sp>
    <xdr:clientData/>
  </xdr:twoCellAnchor>
  <xdr:twoCellAnchor>
    <xdr:from>
      <xdr:col>15</xdr:col>
      <xdr:colOff>918882</xdr:colOff>
      <xdr:row>28</xdr:row>
      <xdr:rowOff>112059</xdr:rowOff>
    </xdr:from>
    <xdr:to>
      <xdr:col>16</xdr:col>
      <xdr:colOff>44824</xdr:colOff>
      <xdr:row>29</xdr:row>
      <xdr:rowOff>168088</xdr:rowOff>
    </xdr:to>
    <xdr:sp macro="" textlink="">
      <xdr:nvSpPr>
        <xdr:cNvPr id="15" name="TextBox 14"/>
        <xdr:cNvSpPr txBox="1"/>
      </xdr:nvSpPr>
      <xdr:spPr>
        <a:xfrm>
          <a:off x="16282147" y="5446059"/>
          <a:ext cx="358589" cy="246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02</a:t>
          </a:r>
        </a:p>
      </xdr:txBody>
    </xdr:sp>
    <xdr:clientData/>
  </xdr:twoCellAnchor>
  <xdr:twoCellAnchor>
    <xdr:from>
      <xdr:col>15</xdr:col>
      <xdr:colOff>750794</xdr:colOff>
      <xdr:row>37</xdr:row>
      <xdr:rowOff>0</xdr:rowOff>
    </xdr:from>
    <xdr:to>
      <xdr:col>15</xdr:col>
      <xdr:colOff>1109383</xdr:colOff>
      <xdr:row>38</xdr:row>
      <xdr:rowOff>67235</xdr:rowOff>
    </xdr:to>
    <xdr:sp macro="" textlink="">
      <xdr:nvSpPr>
        <xdr:cNvPr id="16" name="TextBox 15"/>
        <xdr:cNvSpPr txBox="1"/>
      </xdr:nvSpPr>
      <xdr:spPr>
        <a:xfrm>
          <a:off x="16114059" y="7048500"/>
          <a:ext cx="358589" cy="257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03</a:t>
          </a:r>
        </a:p>
      </xdr:txBody>
    </xdr:sp>
    <xdr:clientData/>
  </xdr:twoCellAnchor>
  <xdr:twoCellAnchor>
    <xdr:from>
      <xdr:col>19</xdr:col>
      <xdr:colOff>280146</xdr:colOff>
      <xdr:row>22</xdr:row>
      <xdr:rowOff>56029</xdr:rowOff>
    </xdr:from>
    <xdr:to>
      <xdr:col>19</xdr:col>
      <xdr:colOff>638735</xdr:colOff>
      <xdr:row>23</xdr:row>
      <xdr:rowOff>112058</xdr:rowOff>
    </xdr:to>
    <xdr:sp macro="" textlink="">
      <xdr:nvSpPr>
        <xdr:cNvPr id="17" name="TextBox 16"/>
        <xdr:cNvSpPr txBox="1"/>
      </xdr:nvSpPr>
      <xdr:spPr>
        <a:xfrm>
          <a:off x="18893117" y="4247029"/>
          <a:ext cx="358589" cy="2465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04</a:t>
          </a:r>
        </a:p>
      </xdr:txBody>
    </xdr:sp>
    <xdr:clientData/>
  </xdr:twoCellAnchor>
  <xdr:twoCellAnchor>
    <xdr:from>
      <xdr:col>16</xdr:col>
      <xdr:colOff>324970</xdr:colOff>
      <xdr:row>16</xdr:row>
      <xdr:rowOff>78441</xdr:rowOff>
    </xdr:from>
    <xdr:to>
      <xdr:col>18</xdr:col>
      <xdr:colOff>33617</xdr:colOff>
      <xdr:row>16</xdr:row>
      <xdr:rowOff>89647</xdr:rowOff>
    </xdr:to>
    <xdr:cxnSp macro="">
      <xdr:nvCxnSpPr>
        <xdr:cNvPr id="19" name="Straight Arrow Connector 18"/>
        <xdr:cNvCxnSpPr/>
      </xdr:nvCxnSpPr>
      <xdr:spPr>
        <a:xfrm flipV="1">
          <a:off x="16920882" y="3126441"/>
          <a:ext cx="1053353" cy="1120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403411</xdr:colOff>
      <xdr:row>34</xdr:row>
      <xdr:rowOff>0</xdr:rowOff>
    </xdr:from>
    <xdr:to>
      <xdr:col>18</xdr:col>
      <xdr:colOff>44823</xdr:colOff>
      <xdr:row>34</xdr:row>
      <xdr:rowOff>1588</xdr:rowOff>
    </xdr:to>
    <xdr:cxnSp macro="">
      <xdr:nvCxnSpPr>
        <xdr:cNvPr id="20" name="Straight Arrow Connector 19"/>
        <xdr:cNvCxnSpPr/>
      </xdr:nvCxnSpPr>
      <xdr:spPr>
        <a:xfrm>
          <a:off x="15766676" y="6477000"/>
          <a:ext cx="221876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40</xdr:row>
      <xdr:rowOff>168088</xdr:rowOff>
    </xdr:from>
    <xdr:to>
      <xdr:col>15</xdr:col>
      <xdr:colOff>448235</xdr:colOff>
      <xdr:row>40</xdr:row>
      <xdr:rowOff>179294</xdr:rowOff>
    </xdr:to>
    <xdr:cxnSp macro="">
      <xdr:nvCxnSpPr>
        <xdr:cNvPr id="24" name="Straight Arrow Connector 23"/>
        <xdr:cNvCxnSpPr/>
      </xdr:nvCxnSpPr>
      <xdr:spPr>
        <a:xfrm flipV="1">
          <a:off x="14690912" y="7788088"/>
          <a:ext cx="1120588" cy="1120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392206</xdr:colOff>
      <xdr:row>40</xdr:row>
      <xdr:rowOff>168088</xdr:rowOff>
    </xdr:from>
    <xdr:to>
      <xdr:col>18</xdr:col>
      <xdr:colOff>33618</xdr:colOff>
      <xdr:row>40</xdr:row>
      <xdr:rowOff>169676</xdr:rowOff>
    </xdr:to>
    <xdr:cxnSp macro="">
      <xdr:nvCxnSpPr>
        <xdr:cNvPr id="25" name="Straight Arrow Connector 24"/>
        <xdr:cNvCxnSpPr/>
      </xdr:nvCxnSpPr>
      <xdr:spPr>
        <a:xfrm>
          <a:off x="15755471" y="7788088"/>
          <a:ext cx="221876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56029</xdr:colOff>
      <xdr:row>40</xdr:row>
      <xdr:rowOff>168088</xdr:rowOff>
    </xdr:from>
    <xdr:to>
      <xdr:col>21</xdr:col>
      <xdr:colOff>33618</xdr:colOff>
      <xdr:row>40</xdr:row>
      <xdr:rowOff>179294</xdr:rowOff>
    </xdr:to>
    <xdr:cxnSp macro="">
      <xdr:nvCxnSpPr>
        <xdr:cNvPr id="26" name="Straight Arrow Connector 25"/>
        <xdr:cNvCxnSpPr/>
      </xdr:nvCxnSpPr>
      <xdr:spPr>
        <a:xfrm>
          <a:off x="17996647" y="7788088"/>
          <a:ext cx="1994647" cy="1120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504265</xdr:colOff>
      <xdr:row>33</xdr:row>
      <xdr:rowOff>33619</xdr:rowOff>
    </xdr:from>
    <xdr:to>
      <xdr:col>13</xdr:col>
      <xdr:colOff>515470</xdr:colOff>
      <xdr:row>40</xdr:row>
      <xdr:rowOff>44825</xdr:rowOff>
    </xdr:to>
    <xdr:cxnSp macro="">
      <xdr:nvCxnSpPr>
        <xdr:cNvPr id="29" name="Straight Arrow Connector 28"/>
        <xdr:cNvCxnSpPr/>
      </xdr:nvCxnSpPr>
      <xdr:spPr>
        <a:xfrm rot="5400000">
          <a:off x="13856074" y="6986869"/>
          <a:ext cx="1344706" cy="1120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291353</xdr:colOff>
      <xdr:row>17</xdr:row>
      <xdr:rowOff>11205</xdr:rowOff>
    </xdr:from>
    <xdr:to>
      <xdr:col>18</xdr:col>
      <xdr:colOff>324970</xdr:colOff>
      <xdr:row>33</xdr:row>
      <xdr:rowOff>56028</xdr:rowOff>
    </xdr:to>
    <xdr:cxnSp macro="">
      <xdr:nvCxnSpPr>
        <xdr:cNvPr id="31" name="Straight Arrow Connector 30"/>
        <xdr:cNvCxnSpPr/>
      </xdr:nvCxnSpPr>
      <xdr:spPr>
        <a:xfrm rot="16200000" flipH="1">
          <a:off x="16702368" y="4779308"/>
          <a:ext cx="3092823" cy="33617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515470</xdr:colOff>
      <xdr:row>24</xdr:row>
      <xdr:rowOff>56031</xdr:rowOff>
    </xdr:from>
    <xdr:to>
      <xdr:col>19</xdr:col>
      <xdr:colOff>515471</xdr:colOff>
      <xdr:row>30</xdr:row>
      <xdr:rowOff>11204</xdr:rowOff>
    </xdr:to>
    <xdr:cxnSp macro="">
      <xdr:nvCxnSpPr>
        <xdr:cNvPr id="33" name="Straight Arrow Connector 32"/>
        <xdr:cNvCxnSpPr/>
      </xdr:nvCxnSpPr>
      <xdr:spPr>
        <a:xfrm rot="16200000" flipH="1">
          <a:off x="18579355" y="5177117"/>
          <a:ext cx="1098173" cy="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201705</xdr:colOff>
      <xdr:row>25</xdr:row>
      <xdr:rowOff>179293</xdr:rowOff>
    </xdr:from>
    <xdr:to>
      <xdr:col>17</xdr:col>
      <xdr:colOff>201706</xdr:colOff>
      <xdr:row>29</xdr:row>
      <xdr:rowOff>145672</xdr:rowOff>
    </xdr:to>
    <xdr:cxnSp macro="">
      <xdr:nvCxnSpPr>
        <xdr:cNvPr id="36" name="Straight Arrow Connector 35"/>
        <xdr:cNvCxnSpPr/>
      </xdr:nvCxnSpPr>
      <xdr:spPr>
        <a:xfrm rot="16200000" flipH="1">
          <a:off x="17105781" y="5305982"/>
          <a:ext cx="728379" cy="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89647</xdr:colOff>
      <xdr:row>27</xdr:row>
      <xdr:rowOff>22412</xdr:rowOff>
    </xdr:from>
    <xdr:to>
      <xdr:col>16</xdr:col>
      <xdr:colOff>89648</xdr:colOff>
      <xdr:row>30</xdr:row>
      <xdr:rowOff>179291</xdr:rowOff>
    </xdr:to>
    <xdr:cxnSp macro="">
      <xdr:nvCxnSpPr>
        <xdr:cNvPr id="38" name="Straight Arrow Connector 37"/>
        <xdr:cNvCxnSpPr/>
      </xdr:nvCxnSpPr>
      <xdr:spPr>
        <a:xfrm rot="16200000" flipH="1">
          <a:off x="16321370" y="5530101"/>
          <a:ext cx="728379" cy="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168088</xdr:colOff>
      <xdr:row>34</xdr:row>
      <xdr:rowOff>67235</xdr:rowOff>
    </xdr:from>
    <xdr:to>
      <xdr:col>17</xdr:col>
      <xdr:colOff>168089</xdr:colOff>
      <xdr:row>38</xdr:row>
      <xdr:rowOff>33614</xdr:rowOff>
    </xdr:to>
    <xdr:cxnSp macro="">
      <xdr:nvCxnSpPr>
        <xdr:cNvPr id="39" name="Straight Arrow Connector 38"/>
        <xdr:cNvCxnSpPr/>
      </xdr:nvCxnSpPr>
      <xdr:spPr>
        <a:xfrm rot="16200000" flipH="1">
          <a:off x="17072164" y="6908424"/>
          <a:ext cx="728379" cy="1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45</xdr:row>
      <xdr:rowOff>19049</xdr:rowOff>
    </xdr:from>
    <xdr:to>
      <xdr:col>20</xdr:col>
      <xdr:colOff>666749</xdr:colOff>
      <xdr:row>54</xdr:row>
      <xdr:rowOff>9524</xdr:rowOff>
    </xdr:to>
    <xdr:sp macro="" textlink="">
      <xdr:nvSpPr>
        <xdr:cNvPr id="40" name="Flowchart: Manual Input 39"/>
        <xdr:cNvSpPr/>
      </xdr:nvSpPr>
      <xdr:spPr>
        <a:xfrm rot="10800000">
          <a:off x="14735175" y="8591549"/>
          <a:ext cx="5267324" cy="1704975"/>
        </a:xfrm>
        <a:prstGeom prst="flowChartManualInpu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304800</xdr:colOff>
      <xdr:row>32</xdr:row>
      <xdr:rowOff>104777</xdr:rowOff>
    </xdr:from>
    <xdr:to>
      <xdr:col>16</xdr:col>
      <xdr:colOff>333375</xdr:colOff>
      <xdr:row>57</xdr:row>
      <xdr:rowOff>66677</xdr:rowOff>
    </xdr:to>
    <xdr:cxnSp macro="">
      <xdr:nvCxnSpPr>
        <xdr:cNvPr id="42" name="Straight Connector 41"/>
        <xdr:cNvCxnSpPr/>
      </xdr:nvCxnSpPr>
      <xdr:spPr>
        <a:xfrm rot="5400000">
          <a:off x="14587538" y="8548689"/>
          <a:ext cx="4724400" cy="2857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447675</xdr:colOff>
      <xdr:row>33</xdr:row>
      <xdr:rowOff>9528</xdr:rowOff>
    </xdr:from>
    <xdr:to>
      <xdr:col>15</xdr:col>
      <xdr:colOff>476250</xdr:colOff>
      <xdr:row>57</xdr:row>
      <xdr:rowOff>161928</xdr:rowOff>
    </xdr:to>
    <xdr:cxnSp macro="">
      <xdr:nvCxnSpPr>
        <xdr:cNvPr id="43" name="Straight Connector 42"/>
        <xdr:cNvCxnSpPr/>
      </xdr:nvCxnSpPr>
      <xdr:spPr>
        <a:xfrm rot="5400000">
          <a:off x="13501688" y="8643940"/>
          <a:ext cx="4724400" cy="2857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657225</xdr:colOff>
      <xdr:row>33</xdr:row>
      <xdr:rowOff>4</xdr:rowOff>
    </xdr:from>
    <xdr:to>
      <xdr:col>18</xdr:col>
      <xdr:colOff>9525</xdr:colOff>
      <xdr:row>57</xdr:row>
      <xdr:rowOff>152404</xdr:rowOff>
    </xdr:to>
    <xdr:cxnSp macro="">
      <xdr:nvCxnSpPr>
        <xdr:cNvPr id="44" name="Straight Connector 43"/>
        <xdr:cNvCxnSpPr/>
      </xdr:nvCxnSpPr>
      <xdr:spPr>
        <a:xfrm rot="5400000">
          <a:off x="15616238" y="8634416"/>
          <a:ext cx="4724400" cy="28575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0"/>
  <sheetViews>
    <sheetView showGridLines="0" tabSelected="1" workbookViewId="0">
      <selection activeCell="M15" sqref="M15"/>
    </sheetView>
  </sheetViews>
  <sheetFormatPr defaultColWidth="8.875" defaultRowHeight="15"/>
  <cols>
    <col min="1" max="1" width="32.375" style="1" bestFit="1" customWidth="1"/>
    <col min="2" max="2" width="12" style="1" bestFit="1" customWidth="1"/>
    <col min="3" max="4" width="8.875" style="1"/>
    <col min="5" max="5" width="31.375" style="1" bestFit="1" customWidth="1"/>
    <col min="6" max="6" width="19.75" style="1" bestFit="1" customWidth="1"/>
    <col min="7" max="8" width="8.875" style="1"/>
    <col min="9" max="9" width="21" style="1" bestFit="1" customWidth="1"/>
    <col min="10" max="11" width="8.875" style="1"/>
    <col min="12" max="12" width="4" style="1" customWidth="1"/>
    <col min="13" max="13" width="23.875" style="1" bestFit="1" customWidth="1"/>
    <col min="14" max="15" width="8.875" style="1"/>
    <col min="16" max="16" width="16.125" style="1" bestFit="1" customWidth="1"/>
    <col min="17" max="17" width="11" style="1" bestFit="1" customWidth="1"/>
    <col min="18" max="16384" width="8.875" style="1"/>
  </cols>
  <sheetData>
    <row r="1" spans="1:18">
      <c r="A1" s="12" t="s">
        <v>106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8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8">
      <c r="A3" s="4" t="s">
        <v>0</v>
      </c>
      <c r="B3" s="3"/>
      <c r="C3" s="3"/>
      <c r="E3" s="3" t="s">
        <v>44</v>
      </c>
      <c r="F3" s="3" t="s">
        <v>45</v>
      </c>
      <c r="G3" s="3" t="s">
        <v>46</v>
      </c>
      <c r="I3" s="3" t="s">
        <v>55</v>
      </c>
      <c r="J3" s="3">
        <f>F31</f>
        <v>0.19058182127949586</v>
      </c>
      <c r="K3" s="3" t="s">
        <v>7</v>
      </c>
      <c r="M3" s="4" t="s">
        <v>96</v>
      </c>
      <c r="N3" s="3"/>
      <c r="O3" s="3"/>
    </row>
    <row r="4" spans="1:18">
      <c r="A4" s="3" t="s">
        <v>1</v>
      </c>
      <c r="B4" s="3">
        <v>4</v>
      </c>
      <c r="C4" s="3" t="s">
        <v>7</v>
      </c>
      <c r="E4" s="3">
        <v>1</v>
      </c>
      <c r="F4" s="3">
        <f>B27*B4*25</f>
        <v>20</v>
      </c>
      <c r="G4" s="3">
        <f>F4*(B26+B40/1000-B27+B27/2)</f>
        <v>21.6</v>
      </c>
      <c r="I4" s="3"/>
      <c r="J4" s="3"/>
      <c r="K4" s="3"/>
      <c r="M4" s="3"/>
      <c r="N4" s="3"/>
      <c r="O4" s="3"/>
    </row>
    <row r="5" spans="1:18">
      <c r="A5" s="3" t="s">
        <v>2</v>
      </c>
      <c r="B5" s="3">
        <v>260</v>
      </c>
      <c r="C5" s="3" t="s">
        <v>8</v>
      </c>
      <c r="E5" s="3">
        <v>2</v>
      </c>
      <c r="F5" s="3">
        <f>0.5*(B40/1000-B27)*25*B4</f>
        <v>4.9999999999999991</v>
      </c>
      <c r="G5" s="3">
        <f>F5*(B26+2/3*(B40/1000-B27))</f>
        <v>4.7333333333333325</v>
      </c>
      <c r="I5" s="4" t="s">
        <v>56</v>
      </c>
      <c r="J5" s="3"/>
      <c r="K5" s="3"/>
      <c r="M5" s="3" t="s">
        <v>99</v>
      </c>
      <c r="N5" s="3"/>
      <c r="O5" s="3"/>
    </row>
    <row r="6" spans="1:18">
      <c r="A6" s="3" t="s">
        <v>3</v>
      </c>
      <c r="B6" s="3">
        <v>20</v>
      </c>
      <c r="C6" s="3" t="s">
        <v>9</v>
      </c>
      <c r="E6" s="3">
        <v>3</v>
      </c>
      <c r="F6" s="3">
        <f>B25*25*B23</f>
        <v>26.400000000000002</v>
      </c>
      <c r="G6" s="3">
        <f>F6*B25/2</f>
        <v>34.848000000000006</v>
      </c>
      <c r="I6" s="3" t="s">
        <v>57</v>
      </c>
      <c r="J6" s="3">
        <f>F10/B25*(1+(6*J3)/B25)</f>
        <v>127.45179063360888</v>
      </c>
      <c r="K6" s="3" t="s">
        <v>58</v>
      </c>
      <c r="M6" s="3" t="s">
        <v>97</v>
      </c>
      <c r="N6" s="3">
        <f>0.12*1000*J21/100</f>
        <v>480</v>
      </c>
      <c r="O6" s="3" t="s">
        <v>38</v>
      </c>
    </row>
    <row r="7" spans="1:18">
      <c r="A7" s="3" t="s">
        <v>4</v>
      </c>
      <c r="B7" s="3">
        <v>500</v>
      </c>
      <c r="C7" s="3" t="s">
        <v>9</v>
      </c>
      <c r="E7" s="3">
        <v>4</v>
      </c>
      <c r="F7" s="3">
        <f>(B25-B26-B40/1000)*4*18</f>
        <v>105.12000000000002</v>
      </c>
      <c r="G7" s="3">
        <f>F7*(B26+B40/1000+(B25-B26-B40/1000)/2)</f>
        <v>200.77920000000006</v>
      </c>
      <c r="I7" s="3" t="s">
        <v>59</v>
      </c>
      <c r="J7" s="3">
        <f>F10/B25*(1-6*J3/B25)</f>
        <v>50.411845730027522</v>
      </c>
      <c r="K7" s="3" t="s">
        <v>58</v>
      </c>
      <c r="M7" s="3" t="s">
        <v>98</v>
      </c>
      <c r="N7" s="3">
        <f>MIN(3*J23,300)</f>
        <v>300</v>
      </c>
      <c r="O7" s="3" t="s">
        <v>29</v>
      </c>
    </row>
    <row r="8" spans="1:18">
      <c r="A8" s="3" t="s">
        <v>5</v>
      </c>
      <c r="B8" s="3">
        <v>18</v>
      </c>
      <c r="C8" s="3" t="s">
        <v>10</v>
      </c>
      <c r="E8" s="3"/>
      <c r="F8" s="3">
        <f>SUM(F4:F7)</f>
        <v>156.52000000000004</v>
      </c>
      <c r="G8" s="3">
        <f>SUM(G4:G7)</f>
        <v>261.96053333333339</v>
      </c>
      <c r="I8" s="3"/>
      <c r="J8" s="3"/>
      <c r="K8" s="3"/>
      <c r="M8" s="3"/>
      <c r="N8" s="3"/>
      <c r="O8" s="3"/>
    </row>
    <row r="9" spans="1:18">
      <c r="A9" s="3" t="s">
        <v>6</v>
      </c>
      <c r="B9" s="3">
        <v>30</v>
      </c>
      <c r="C9" s="3"/>
      <c r="E9" s="3" t="s">
        <v>47</v>
      </c>
      <c r="F9" s="3">
        <f>F8</f>
        <v>156.52000000000004</v>
      </c>
      <c r="G9" s="3" t="s">
        <v>49</v>
      </c>
      <c r="I9" s="3"/>
      <c r="J9" s="3"/>
      <c r="K9" s="3"/>
      <c r="M9" s="4" t="s">
        <v>100</v>
      </c>
      <c r="N9" s="3"/>
      <c r="O9" s="3"/>
    </row>
    <row r="10" spans="1:18">
      <c r="A10" s="3" t="s">
        <v>18</v>
      </c>
      <c r="B10" s="3">
        <v>0.2</v>
      </c>
      <c r="C10" s="3" t="s">
        <v>7</v>
      </c>
      <c r="E10" s="3" t="s">
        <v>48</v>
      </c>
      <c r="F10" s="3">
        <f>1.5*F9</f>
        <v>234.78000000000006</v>
      </c>
      <c r="G10" s="3" t="s">
        <v>49</v>
      </c>
      <c r="I10" s="3" t="s">
        <v>60</v>
      </c>
      <c r="J10" s="3">
        <f>J6-J7</f>
        <v>77.039944903581357</v>
      </c>
      <c r="K10" s="3" t="s">
        <v>58</v>
      </c>
      <c r="M10" s="3" t="s">
        <v>101</v>
      </c>
      <c r="N10" s="3">
        <f>(0.5*B6/B7*(1-SQRT(1-(4.598*J20*10^6)/(B6*1000*J23^2))))*1000*J23</f>
        <v>281.92219891316444</v>
      </c>
      <c r="O10" s="3" t="s">
        <v>38</v>
      </c>
    </row>
    <row r="11" spans="1:18">
      <c r="A11" s="3" t="s">
        <v>32</v>
      </c>
      <c r="B11" s="3">
        <v>12</v>
      </c>
      <c r="C11" s="3" t="s">
        <v>29</v>
      </c>
      <c r="E11" s="3" t="s">
        <v>50</v>
      </c>
      <c r="F11" s="3">
        <f>G8</f>
        <v>261.96053333333339</v>
      </c>
      <c r="G11" s="3" t="s">
        <v>51</v>
      </c>
      <c r="I11" s="3" t="s">
        <v>61</v>
      </c>
      <c r="J11" s="3"/>
      <c r="K11" s="3"/>
      <c r="M11" s="5" t="str">
        <f>IF(N10&gt;N6,"safe","Choose Ast min")</f>
        <v>Choose Ast min</v>
      </c>
      <c r="N11" s="3"/>
      <c r="O11" s="3"/>
    </row>
    <row r="12" spans="1:18">
      <c r="A12" s="3" t="s">
        <v>33</v>
      </c>
      <c r="B12" s="3">
        <v>20</v>
      </c>
      <c r="C12" s="3" t="s">
        <v>29</v>
      </c>
      <c r="I12" s="3" t="s">
        <v>62</v>
      </c>
      <c r="J12" s="3">
        <f>J10/B25*(B25-B26)+J7</f>
        <v>101.77180899908177</v>
      </c>
      <c r="K12" s="3" t="s">
        <v>58</v>
      </c>
      <c r="M12" s="3" t="s">
        <v>102</v>
      </c>
      <c r="N12" s="3">
        <f>MAX(N10,N6)</f>
        <v>480</v>
      </c>
      <c r="O12" s="3" t="s">
        <v>38</v>
      </c>
    </row>
    <row r="13" spans="1:18">
      <c r="A13" s="3" t="s">
        <v>77</v>
      </c>
      <c r="B13" s="3"/>
      <c r="C13" s="3"/>
      <c r="E13" s="4" t="s">
        <v>52</v>
      </c>
      <c r="F13" s="3"/>
      <c r="G13" s="3"/>
      <c r="I13" s="3" t="s">
        <v>63</v>
      </c>
      <c r="J13" s="3">
        <f>J10/B25*(B25-B26-B40/1000)+J7</f>
        <v>93.017269805492973</v>
      </c>
      <c r="K13" s="3" t="s">
        <v>58</v>
      </c>
      <c r="M13" s="3" t="s">
        <v>98</v>
      </c>
      <c r="N13" s="3">
        <f>MAX(FLOOR(0.25*3.14*B11^2*1000/N12,15),200)</f>
        <v>225</v>
      </c>
      <c r="O13" s="3" t="s">
        <v>29</v>
      </c>
    </row>
    <row r="14" spans="1:18">
      <c r="A14" s="3" t="s">
        <v>78</v>
      </c>
      <c r="B14" s="3">
        <v>45</v>
      </c>
      <c r="C14" s="3" t="s">
        <v>8</v>
      </c>
      <c r="E14" s="3" t="s">
        <v>53</v>
      </c>
      <c r="F14" s="3">
        <f>0.5*B30*B8*B24*B24</f>
        <v>58.080000000000013</v>
      </c>
      <c r="G14" s="3" t="s">
        <v>54</v>
      </c>
      <c r="M14" s="3"/>
      <c r="N14" s="3"/>
      <c r="O14" s="3"/>
    </row>
    <row r="15" spans="1:18">
      <c r="A15" s="3" t="s">
        <v>6</v>
      </c>
      <c r="B15" s="3">
        <v>28</v>
      </c>
      <c r="C15" s="3"/>
      <c r="E15" s="3" t="s">
        <v>21</v>
      </c>
      <c r="F15" s="3">
        <f>1.5*F14</f>
        <v>87.120000000000019</v>
      </c>
      <c r="G15" s="3" t="s">
        <v>54</v>
      </c>
      <c r="I15" s="4" t="s">
        <v>64</v>
      </c>
      <c r="J15" s="3"/>
      <c r="K15" s="3"/>
      <c r="M15" s="16" t="s">
        <v>103</v>
      </c>
      <c r="N15" s="3"/>
      <c r="O15" s="3"/>
    </row>
    <row r="16" spans="1:18">
      <c r="A16" s="3" t="s">
        <v>79</v>
      </c>
      <c r="B16" s="3">
        <v>19</v>
      </c>
      <c r="C16" s="3" t="s">
        <v>10</v>
      </c>
      <c r="I16" s="4" t="s">
        <v>65</v>
      </c>
      <c r="J16" s="3"/>
      <c r="K16" s="3"/>
      <c r="M16" s="3" t="s">
        <v>101</v>
      </c>
      <c r="N16" s="3">
        <f>(0.5*B6/B7*(1-SQRT(1-(4.598*J34*10^6)/(B6*1000*J23^2))))*1000*J23</f>
        <v>416.37503407024803</v>
      </c>
      <c r="O16" s="3" t="s">
        <v>38</v>
      </c>
      <c r="R16" s="1">
        <f>B10</f>
        <v>0.2</v>
      </c>
    </row>
    <row r="17" spans="1:20">
      <c r="A17" s="3" t="s">
        <v>80</v>
      </c>
      <c r="B17" s="3">
        <v>0.66600000000000004</v>
      </c>
      <c r="C17" s="3"/>
      <c r="I17" s="3" t="s">
        <v>48</v>
      </c>
      <c r="J17" s="3">
        <f>1.5*(B26*B23)*25</f>
        <v>13.200000000000001</v>
      </c>
      <c r="K17" s="3" t="s">
        <v>24</v>
      </c>
      <c r="M17" s="5" t="str">
        <f>IF(N16&gt;N6,"safe","Choose Ast min")</f>
        <v>Choose Ast min</v>
      </c>
      <c r="N17" s="3"/>
      <c r="O17" s="3"/>
    </row>
    <row r="18" spans="1:20">
      <c r="E18" s="4" t="s">
        <v>73</v>
      </c>
      <c r="F18" s="3"/>
      <c r="G18" s="3"/>
      <c r="I18" s="3" t="s">
        <v>68</v>
      </c>
      <c r="J18" s="3">
        <f>(J6+J12)/2*B26</f>
        <v>100.85838383838389</v>
      </c>
      <c r="K18" s="3" t="s">
        <v>24</v>
      </c>
      <c r="M18" s="3" t="s">
        <v>104</v>
      </c>
      <c r="N18" s="3">
        <f>MAX(N16,N6)</f>
        <v>480</v>
      </c>
      <c r="O18" s="3" t="s">
        <v>38</v>
      </c>
    </row>
    <row r="19" spans="1:20">
      <c r="A19" s="4" t="s">
        <v>11</v>
      </c>
      <c r="B19" s="3"/>
      <c r="C19" s="3"/>
      <c r="E19" s="3" t="s">
        <v>75</v>
      </c>
      <c r="F19" s="3">
        <f>F11</f>
        <v>261.96053333333339</v>
      </c>
      <c r="G19" s="3" t="s">
        <v>51</v>
      </c>
      <c r="I19" s="3" t="s">
        <v>67</v>
      </c>
      <c r="J19" s="3">
        <f>(J12+2*J6*B26)/(3*(J6+J12))</f>
        <v>0.47419050079886654</v>
      </c>
      <c r="K19" s="3" t="s">
        <v>7</v>
      </c>
      <c r="M19" s="3" t="s">
        <v>98</v>
      </c>
      <c r="N19" s="3">
        <f>MAX(FLOOR(0.25*3.14*B11^2*1000/N16,15),200)</f>
        <v>270</v>
      </c>
      <c r="O19" s="3" t="s">
        <v>38</v>
      </c>
    </row>
    <row r="20" spans="1:20">
      <c r="A20" s="3" t="s">
        <v>12</v>
      </c>
      <c r="B20" s="3">
        <f>B5/B8*((1-SIN(RADIANS(30)))/(1+SIN(RADIANS(30))))^2</f>
        <v>1.6049382716049383</v>
      </c>
      <c r="C20" s="3" t="s">
        <v>7</v>
      </c>
      <c r="E20" s="3" t="s">
        <v>74</v>
      </c>
      <c r="F20" s="3">
        <f>F14*B24/3</f>
        <v>85.184000000000026</v>
      </c>
      <c r="G20" s="3" t="s">
        <v>51</v>
      </c>
      <c r="I20" s="3" t="s">
        <v>66</v>
      </c>
      <c r="J20" s="3">
        <f>J18*J19-J17*B23</f>
        <v>42.546087542087562</v>
      </c>
      <c r="K20" s="3" t="s">
        <v>26</v>
      </c>
    </row>
    <row r="21" spans="1:20">
      <c r="A21" s="3"/>
      <c r="B21" s="3"/>
      <c r="C21" s="3"/>
      <c r="E21" s="3" t="s">
        <v>84</v>
      </c>
      <c r="F21" s="3">
        <f>F19/F20</f>
        <v>3.0752316553969443</v>
      </c>
      <c r="G21" s="3"/>
      <c r="I21" s="3" t="s">
        <v>69</v>
      </c>
      <c r="J21" s="3">
        <f>B23*1000</f>
        <v>400</v>
      </c>
      <c r="K21" s="3" t="s">
        <v>29</v>
      </c>
      <c r="M21" s="10" t="s">
        <v>112</v>
      </c>
      <c r="N21" s="10"/>
      <c r="O21" s="10"/>
    </row>
    <row r="22" spans="1:20">
      <c r="A22" s="4" t="s">
        <v>13</v>
      </c>
      <c r="B22" s="3"/>
      <c r="C22" s="3"/>
      <c r="E22" s="3"/>
      <c r="F22" s="5" t="str">
        <f>IF(F21&gt;2,"SAFE","Not OKAY")</f>
        <v>SAFE</v>
      </c>
      <c r="G22" s="3"/>
      <c r="I22" s="3" t="s">
        <v>31</v>
      </c>
      <c r="J22" s="3">
        <f>B12*2+B11*0.5</f>
        <v>46</v>
      </c>
      <c r="K22" s="3" t="s">
        <v>29</v>
      </c>
      <c r="M22" s="10" t="s">
        <v>113</v>
      </c>
      <c r="N22" s="10">
        <f>B25</f>
        <v>2.64</v>
      </c>
      <c r="O22" s="10" t="s">
        <v>120</v>
      </c>
    </row>
    <row r="23" spans="1:20">
      <c r="A23" s="3" t="s">
        <v>14</v>
      </c>
      <c r="B23" s="3">
        <f>B4/10</f>
        <v>0.4</v>
      </c>
      <c r="C23" s="3" t="s">
        <v>7</v>
      </c>
      <c r="E23" s="3"/>
      <c r="F23" s="3"/>
      <c r="G23" s="3"/>
      <c r="I23" s="3" t="s">
        <v>70</v>
      </c>
      <c r="J23" s="3">
        <f>J21-J22</f>
        <v>354</v>
      </c>
      <c r="K23" s="3" t="s">
        <v>29</v>
      </c>
      <c r="L23" s="2"/>
      <c r="M23" s="11" t="s">
        <v>114</v>
      </c>
      <c r="N23" s="11">
        <f>B20</f>
        <v>1.6049382716049383</v>
      </c>
      <c r="O23" s="10" t="s">
        <v>120</v>
      </c>
    </row>
    <row r="24" spans="1:20">
      <c r="A24" s="3" t="s">
        <v>15</v>
      </c>
      <c r="B24" s="3">
        <f>B23+B4</f>
        <v>4.4000000000000004</v>
      </c>
      <c r="C24" s="3" t="s">
        <v>7</v>
      </c>
      <c r="E24" s="4" t="s">
        <v>76</v>
      </c>
      <c r="F24" s="3"/>
      <c r="G24" s="3"/>
      <c r="I24" s="3"/>
      <c r="J24" s="3"/>
      <c r="K24" s="3"/>
      <c r="L24" s="2"/>
      <c r="M24" s="11" t="s">
        <v>115</v>
      </c>
      <c r="N24" s="11">
        <f>B10</f>
        <v>0.2</v>
      </c>
      <c r="O24" s="10" t="s">
        <v>120</v>
      </c>
    </row>
    <row r="25" spans="1:20">
      <c r="A25" s="3" t="s">
        <v>16</v>
      </c>
      <c r="B25" s="3">
        <f>0.6*B24</f>
        <v>2.64</v>
      </c>
      <c r="C25" s="3" t="s">
        <v>7</v>
      </c>
      <c r="E25" s="3" t="s">
        <v>81</v>
      </c>
      <c r="F25" s="3">
        <f>TAN(RADIANS(45+B15/2))^2</f>
        <v>2.7698261953729091</v>
      </c>
      <c r="G25" s="3"/>
      <c r="I25" s="4" t="s">
        <v>105</v>
      </c>
      <c r="J25" s="3"/>
      <c r="K25" s="3"/>
      <c r="M25" s="10" t="s">
        <v>116</v>
      </c>
      <c r="N25" s="10">
        <f>B40/1000</f>
        <v>0.3</v>
      </c>
      <c r="O25" s="10" t="s">
        <v>120</v>
      </c>
      <c r="S25" s="6">
        <f>B4</f>
        <v>4</v>
      </c>
    </row>
    <row r="26" spans="1:20">
      <c r="A26" s="3" t="s">
        <v>17</v>
      </c>
      <c r="B26" s="3">
        <f>1/3*B25</f>
        <v>0.88</v>
      </c>
      <c r="C26" s="3" t="s">
        <v>7</v>
      </c>
      <c r="E26" s="3" t="s">
        <v>82</v>
      </c>
      <c r="F26" s="3">
        <f>0.5*F25*B16*B20^2+2*B14*SQRT(F25)*B20</f>
        <v>308.17455587421227</v>
      </c>
      <c r="G26" s="3" t="s">
        <v>54</v>
      </c>
      <c r="I26" s="3" t="s">
        <v>95</v>
      </c>
      <c r="J26" s="3">
        <f>SQRT(J20*10^6/(0.138*B6*1000))</f>
        <v>124.15816167071745</v>
      </c>
      <c r="K26" s="3" t="s">
        <v>29</v>
      </c>
      <c r="M26" s="10" t="s">
        <v>117</v>
      </c>
      <c r="N26" s="10">
        <f>B26</f>
        <v>0.88</v>
      </c>
      <c r="O26" s="10" t="s">
        <v>120</v>
      </c>
    </row>
    <row r="27" spans="1:20">
      <c r="A27" s="3" t="s">
        <v>18</v>
      </c>
      <c r="B27" s="3">
        <f>B10</f>
        <v>0.2</v>
      </c>
      <c r="C27" s="3" t="s">
        <v>7</v>
      </c>
      <c r="E27" s="3" t="s">
        <v>83</v>
      </c>
      <c r="F27" s="3">
        <f>((F9*TAN(RADIANS(B17*B15))+B25*B14*B17+F26))/F14</f>
        <v>7.5777578091235016</v>
      </c>
      <c r="G27" s="3"/>
      <c r="I27" s="3"/>
      <c r="J27" s="5" t="str">
        <f>IF(J26&gt;J23,"Not Safe","SAFE")</f>
        <v>SAFE</v>
      </c>
      <c r="K27" s="3"/>
      <c r="M27" s="10" t="s">
        <v>118</v>
      </c>
      <c r="N27" s="10">
        <f>B23</f>
        <v>0.4</v>
      </c>
      <c r="O27" s="10" t="s">
        <v>120</v>
      </c>
    </row>
    <row r="28" spans="1:20">
      <c r="E28" s="3"/>
      <c r="F28" s="5" t="str">
        <f>IF(F27&gt;1.5,"SAFE","Not Okay")</f>
        <v>SAFE</v>
      </c>
      <c r="G28" s="3"/>
      <c r="M28" s="10" t="s">
        <v>119</v>
      </c>
      <c r="N28" s="10">
        <f>B25-B26-B40/1000</f>
        <v>1.4600000000000002</v>
      </c>
      <c r="O28" s="10" t="s">
        <v>120</v>
      </c>
    </row>
    <row r="29" spans="1:20">
      <c r="A29" s="4" t="s">
        <v>19</v>
      </c>
      <c r="B29" s="3"/>
      <c r="C29" s="3"/>
      <c r="E29" s="3"/>
      <c r="F29" s="3"/>
      <c r="G29" s="3"/>
      <c r="I29" s="4" t="s">
        <v>71</v>
      </c>
      <c r="J29" s="3"/>
      <c r="K29" s="3"/>
    </row>
    <row r="30" spans="1:20">
      <c r="A30" s="3" t="s">
        <v>20</v>
      </c>
      <c r="B30" s="3">
        <f>(1-SIN(RADIANS(30)))/(1+SIN(RADIANS(30)))</f>
        <v>0.33333333333333331</v>
      </c>
      <c r="C30" s="3"/>
      <c r="E30" s="4" t="s">
        <v>85</v>
      </c>
      <c r="F30" s="3"/>
      <c r="G30" s="3"/>
      <c r="I30" s="3" t="s">
        <v>48</v>
      </c>
      <c r="J30" s="3">
        <f>1.5*(B23*(B25-B26-B40/1000))*25</f>
        <v>21.900000000000002</v>
      </c>
      <c r="K30" s="3" t="s">
        <v>54</v>
      </c>
      <c r="P30"/>
    </row>
    <row r="31" spans="1:20">
      <c r="A31" s="3" t="s">
        <v>25</v>
      </c>
      <c r="B31" s="3">
        <f>0.5*B8*B4*B4*B30</f>
        <v>48</v>
      </c>
      <c r="C31" s="3" t="s">
        <v>24</v>
      </c>
      <c r="E31" s="3" t="s">
        <v>86</v>
      </c>
      <c r="F31" s="3">
        <f>B25/2-(F19-F20)/F9</f>
        <v>0.19058182127949586</v>
      </c>
      <c r="G31" s="3" t="s">
        <v>7</v>
      </c>
      <c r="I31" s="3" t="s">
        <v>72</v>
      </c>
      <c r="J31" s="3">
        <f>F7*1.5</f>
        <v>157.68000000000004</v>
      </c>
      <c r="K31" s="3" t="s">
        <v>54</v>
      </c>
      <c r="Q31" s="6" t="s">
        <v>108</v>
      </c>
      <c r="R31" s="7">
        <f>F4</f>
        <v>20</v>
      </c>
      <c r="S31" s="6" t="s">
        <v>109</v>
      </c>
      <c r="T31" s="1">
        <f>F7</f>
        <v>105.12000000000002</v>
      </c>
    </row>
    <row r="32" spans="1:20">
      <c r="A32" s="3" t="s">
        <v>21</v>
      </c>
      <c r="B32" s="3">
        <f>1.5*B31</f>
        <v>72</v>
      </c>
      <c r="C32" s="3" t="s">
        <v>24</v>
      </c>
      <c r="E32" s="3" t="s">
        <v>87</v>
      </c>
      <c r="F32" s="3">
        <f>F9/B25</f>
        <v>59.287878787878803</v>
      </c>
      <c r="G32" s="3" t="s">
        <v>58</v>
      </c>
      <c r="I32" s="3" t="s">
        <v>91</v>
      </c>
      <c r="J32" s="3">
        <f>(J13+J7)/2*(B25-B26-B40/1000)</f>
        <v>104.70325434092999</v>
      </c>
      <c r="K32" s="3" t="s">
        <v>54</v>
      </c>
      <c r="P32" s="6" t="s">
        <v>107</v>
      </c>
      <c r="Q32" s="7">
        <f>F5</f>
        <v>4.9999999999999991</v>
      </c>
    </row>
    <row r="33" spans="1:21">
      <c r="A33" s="3"/>
      <c r="B33" s="3"/>
      <c r="C33" s="3"/>
      <c r="E33" s="3" t="s">
        <v>88</v>
      </c>
      <c r="F33" s="3">
        <f>F32*(1+6*F31/B25)</f>
        <v>84.96786042240592</v>
      </c>
      <c r="G33" s="3" t="s">
        <v>58</v>
      </c>
      <c r="I33" s="3" t="s">
        <v>92</v>
      </c>
      <c r="J33" s="3">
        <f>(J13+2*J7)/(3*(J13+J7))*(B25-B26-B40/1000)</f>
        <v>0.65771816364024238</v>
      </c>
      <c r="K33" s="3" t="s">
        <v>7</v>
      </c>
    </row>
    <row r="34" spans="1:21">
      <c r="A34" s="4" t="s">
        <v>22</v>
      </c>
      <c r="B34" s="3"/>
      <c r="C34" s="3"/>
      <c r="E34" s="3" t="s">
        <v>89</v>
      </c>
      <c r="F34" s="3">
        <f>F32*(1-6*F31/B25)</f>
        <v>33.607897153351686</v>
      </c>
      <c r="G34" s="3" t="s">
        <v>58</v>
      </c>
      <c r="I34" s="3" t="s">
        <v>93</v>
      </c>
      <c r="J34" s="3">
        <f>J31*((B25-B26-B40/1000))/2+J30*(B25-B26-B40/1000)/2-J32*J33</f>
        <v>62.228167827726324</v>
      </c>
      <c r="K34" s="3" t="s">
        <v>51</v>
      </c>
    </row>
    <row r="35" spans="1:21">
      <c r="A35" s="3" t="s">
        <v>23</v>
      </c>
      <c r="B35" s="3">
        <f>B32*1/3*B4</f>
        <v>96</v>
      </c>
      <c r="C35" s="3" t="s">
        <v>26</v>
      </c>
      <c r="E35" s="3" t="s">
        <v>90</v>
      </c>
      <c r="F35" s="3">
        <f>B5/F33</f>
        <v>3.059980546849669</v>
      </c>
      <c r="G35" s="3"/>
      <c r="I35" s="3"/>
      <c r="J35" s="3"/>
      <c r="K35" s="3"/>
      <c r="Q35" s="1">
        <f>B40/1000</f>
        <v>0.3</v>
      </c>
    </row>
    <row r="36" spans="1:21">
      <c r="A36" s="3"/>
      <c r="B36" s="3"/>
      <c r="C36" s="3"/>
      <c r="E36" s="3"/>
      <c r="F36" s="5" t="str">
        <f>IF(F35&gt;3,"SAfE","Not Okay")</f>
        <v>SAfE</v>
      </c>
      <c r="G36" s="3"/>
      <c r="I36" s="4" t="s">
        <v>94</v>
      </c>
      <c r="J36" s="3"/>
      <c r="K36" s="3"/>
    </row>
    <row r="37" spans="1:21">
      <c r="A37" s="4" t="s">
        <v>27</v>
      </c>
      <c r="B37" s="3"/>
      <c r="C37" s="3"/>
      <c r="E37" s="15" t="s">
        <v>121</v>
      </c>
      <c r="F37" s="14" t="str">
        <f>IF(F31&gt;B25/6,"Section not Preferable","Section is Suitable &amp;Safe")</f>
        <v>Section is Suitable &amp;Safe</v>
      </c>
      <c r="I37" s="3" t="s">
        <v>95</v>
      </c>
      <c r="J37" s="3">
        <f>SQRT(J34*10^6/(0.138*B6*1000))</f>
        <v>150.15471227617672</v>
      </c>
      <c r="K37" s="3" t="s">
        <v>29</v>
      </c>
      <c r="N37" s="1">
        <f>B23</f>
        <v>0.4</v>
      </c>
    </row>
    <row r="38" spans="1:21">
      <c r="A38" s="3" t="s">
        <v>28</v>
      </c>
      <c r="B38" s="3">
        <f>SQRT(B35*10^6/(0.138*B6*1000))</f>
        <v>186.50096164806274</v>
      </c>
      <c r="C38" s="3" t="s">
        <v>29</v>
      </c>
      <c r="I38" s="3"/>
      <c r="J38" s="5" t="str">
        <f>IF(J37&gt;J23,"Not Safe","SAFE")</f>
        <v>SAFE</v>
      </c>
      <c r="K38" s="3"/>
    </row>
    <row r="39" spans="1:21">
      <c r="A39" s="3" t="s">
        <v>31</v>
      </c>
      <c r="B39" s="3">
        <f>B12*2+B11*0.5</f>
        <v>46</v>
      </c>
      <c r="C39" s="3" t="s">
        <v>29</v>
      </c>
      <c r="Q39" s="6" t="s">
        <v>110</v>
      </c>
      <c r="R39" s="7">
        <f>F6</f>
        <v>26.400000000000002</v>
      </c>
    </row>
    <row r="40" spans="1:21">
      <c r="A40" s="3" t="s">
        <v>30</v>
      </c>
      <c r="B40" s="3">
        <f>ROUNDUP(B38+B39,-2)</f>
        <v>300</v>
      </c>
      <c r="C40" s="3" t="s">
        <v>29</v>
      </c>
    </row>
    <row r="41" spans="1:21">
      <c r="A41" s="3" t="s">
        <v>34</v>
      </c>
      <c r="B41" s="3">
        <f>B40-B39</f>
        <v>254</v>
      </c>
      <c r="C41" s="3" t="s">
        <v>35</v>
      </c>
    </row>
    <row r="42" spans="1:21">
      <c r="A42" s="3"/>
      <c r="B42" s="3"/>
      <c r="C42" s="3"/>
      <c r="O42" s="6">
        <f>B26</f>
        <v>0.88</v>
      </c>
      <c r="Q42" s="7">
        <f>Q35</f>
        <v>0.3</v>
      </c>
      <c r="T42" s="1">
        <f>B25-Q42-O42</f>
        <v>1.4600000000000004</v>
      </c>
    </row>
    <row r="43" spans="1:21">
      <c r="A43" s="4" t="s">
        <v>36</v>
      </c>
      <c r="B43" s="3"/>
      <c r="C43" s="3"/>
      <c r="O43" s="6"/>
    </row>
    <row r="44" spans="1:21">
      <c r="A44" s="3" t="s">
        <v>37</v>
      </c>
      <c r="B44" s="3">
        <f>(0.5*B6/B7*(1-SQRT(1-(4.598*B35*10^6)/(B6*1000*B41*B41))))*1000*B41</f>
        <v>959.53400693562332</v>
      </c>
      <c r="C44" s="3" t="s">
        <v>38</v>
      </c>
      <c r="R44" s="13" t="s">
        <v>111</v>
      </c>
      <c r="S44" s="13"/>
      <c r="T44" s="13"/>
      <c r="U44" s="8"/>
    </row>
    <row r="45" spans="1:21">
      <c r="A45" s="3" t="s">
        <v>39</v>
      </c>
      <c r="B45" s="3">
        <f>MAX(FLOOR(0.25*3.14*B11*B11*1000/B44,10),200)</f>
        <v>200</v>
      </c>
      <c r="C45" s="3" t="s">
        <v>29</v>
      </c>
    </row>
    <row r="46" spans="1:21">
      <c r="A46" s="3"/>
      <c r="B46" s="3"/>
      <c r="C46" s="3"/>
    </row>
    <row r="47" spans="1:21">
      <c r="A47" s="4" t="s">
        <v>40</v>
      </c>
      <c r="B47" s="3"/>
      <c r="C47" s="3"/>
    </row>
    <row r="48" spans="1:21">
      <c r="A48" s="3" t="s">
        <v>42</v>
      </c>
      <c r="B48" s="3">
        <f>(0.2+0.3)/2*1000</f>
        <v>250</v>
      </c>
      <c r="C48" s="3" t="s">
        <v>7</v>
      </c>
    </row>
    <row r="49" spans="1:22">
      <c r="A49" s="3" t="s">
        <v>41</v>
      </c>
      <c r="B49" s="3">
        <f>0.12*B48*1000/100</f>
        <v>300</v>
      </c>
      <c r="C49" s="3" t="s">
        <v>38</v>
      </c>
    </row>
    <row r="50" spans="1:22">
      <c r="A50" s="3" t="s">
        <v>43</v>
      </c>
      <c r="B50" s="3">
        <f>FLOOR(0.25*3.14*8*8*1000/B49,20)</f>
        <v>160</v>
      </c>
      <c r="C50" s="3" t="s">
        <v>29</v>
      </c>
      <c r="N50" s="1">
        <f>J6</f>
        <v>127.45179063360888</v>
      </c>
      <c r="P50" s="6">
        <f>J12</f>
        <v>101.77180899908177</v>
      </c>
      <c r="S50" s="9">
        <f>J13</f>
        <v>93.017269805492973</v>
      </c>
      <c r="V50" s="1">
        <f>J7</f>
        <v>50.411845730027522</v>
      </c>
    </row>
  </sheetData>
  <mergeCells count="2">
    <mergeCell ref="A1:O2"/>
    <mergeCell ref="R44:T4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Jetla Chandu</dc:creator>
  <cp:lastModifiedBy>CAD LAB</cp:lastModifiedBy>
  <dcterms:created xsi:type="dcterms:W3CDTF">2025-09-17T16:50:16Z</dcterms:created>
  <dcterms:modified xsi:type="dcterms:W3CDTF">2025-09-25T08:29:51Z</dcterms:modified>
</cp:coreProperties>
</file>