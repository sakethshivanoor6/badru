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27" i="2"/>
  <c r="A24" i="1"/>
  <c r="B28" i="2"/>
  <c r="B30"/>
  <c r="F22"/>
  <c r="B24"/>
  <c r="F18"/>
  <c r="F17"/>
  <c r="F16"/>
  <c r="F14"/>
  <c r="B20"/>
  <c r="B23" s="1"/>
  <c r="F13"/>
  <c r="F7"/>
  <c r="F6"/>
  <c r="F5"/>
  <c r="F8" s="1"/>
  <c r="B5"/>
  <c r="B17" s="1"/>
  <c r="A18" s="1"/>
  <c r="B11"/>
  <c r="F3"/>
  <c r="F25" i="1"/>
  <c r="F24"/>
  <c r="F23"/>
  <c r="F22"/>
  <c r="F17"/>
  <c r="F16"/>
  <c r="F14"/>
  <c r="F13"/>
  <c r="F10"/>
  <c r="F9"/>
  <c r="F8"/>
  <c r="F7"/>
  <c r="F6"/>
  <c r="F5"/>
  <c r="F4"/>
  <c r="F3"/>
  <c r="B27"/>
  <c r="B26"/>
  <c r="B32"/>
  <c r="B31"/>
  <c r="B30"/>
  <c r="B28"/>
  <c r="B25"/>
  <c r="B14"/>
  <c r="B15" s="1"/>
  <c r="B18" s="1"/>
  <c r="B22" s="1"/>
  <c r="B19"/>
  <c r="B12"/>
  <c r="A13" s="1"/>
  <c r="B5"/>
  <c r="F23" i="2" l="1"/>
  <c r="F24" s="1"/>
  <c r="F25" s="1"/>
  <c r="F9"/>
  <c r="F10" s="1"/>
  <c r="F19"/>
  <c r="B25"/>
  <c r="B29" s="1"/>
  <c r="B31" s="1"/>
  <c r="B32" s="1"/>
  <c r="F18" i="1"/>
  <c r="F19" s="1"/>
</calcChain>
</file>

<file path=xl/sharedStrings.xml><?xml version="1.0" encoding="utf-8"?>
<sst xmlns="http://schemas.openxmlformats.org/spreadsheetml/2006/main" count="178" uniqueCount="62">
  <si>
    <t>Input Data</t>
  </si>
  <si>
    <t>Length of the Pile above GL</t>
  </si>
  <si>
    <t>Length of the Pile below GL</t>
  </si>
  <si>
    <t>Total Length</t>
  </si>
  <si>
    <t>m</t>
  </si>
  <si>
    <t xml:space="preserve">Size of Pile </t>
  </si>
  <si>
    <t>L</t>
  </si>
  <si>
    <t>B</t>
  </si>
  <si>
    <t>mm</t>
  </si>
  <si>
    <t>load Pa</t>
  </si>
  <si>
    <t>Kn</t>
  </si>
  <si>
    <t>L/d Ratio</t>
  </si>
  <si>
    <t>Cr</t>
  </si>
  <si>
    <t xml:space="preserve">Design load for short column </t>
  </si>
  <si>
    <t>Load Calc</t>
  </si>
  <si>
    <t xml:space="preserve">Longitudinal Reft </t>
  </si>
  <si>
    <t>Load carrying Capacity of Column :P</t>
  </si>
  <si>
    <t>Area of pile</t>
  </si>
  <si>
    <t>sqmm</t>
  </si>
  <si>
    <t>Asc</t>
  </si>
  <si>
    <t>let Permissible stress in C.C</t>
  </si>
  <si>
    <t>Permissible compressive Stress for Column Bars</t>
  </si>
  <si>
    <t xml:space="preserve">Grade Of Concrete </t>
  </si>
  <si>
    <t>Mpa</t>
  </si>
  <si>
    <t>Check for Reft</t>
  </si>
  <si>
    <t>Dia Provided for Bar</t>
  </si>
  <si>
    <t>Area of Bar</t>
  </si>
  <si>
    <t>no of bars</t>
  </si>
  <si>
    <t>Provided Reft</t>
  </si>
  <si>
    <t xml:space="preserve">Nominal Cover </t>
  </si>
  <si>
    <t>Minimum Longitudinal Reft@1.25%</t>
  </si>
  <si>
    <t>reft @1.5%</t>
  </si>
  <si>
    <t>reft @2%</t>
  </si>
  <si>
    <t>Volume needed per mm length</t>
  </si>
  <si>
    <t>cumm</t>
  </si>
  <si>
    <t>using dia</t>
  </si>
  <si>
    <t>total Length of one tie</t>
  </si>
  <si>
    <t>Length of each Side</t>
  </si>
  <si>
    <t>(square)</t>
  </si>
  <si>
    <t>Area of bar</t>
  </si>
  <si>
    <t>volume of each tie</t>
  </si>
  <si>
    <t xml:space="preserve">pitch </t>
  </si>
  <si>
    <t>Provide Reft with the pitch of</t>
  </si>
  <si>
    <t>lateral Reinforcement  in Body</t>
  </si>
  <si>
    <t>Lateral Reinforcement Near the Pile Head</t>
  </si>
  <si>
    <t>(Spiral)</t>
  </si>
  <si>
    <t>3D</t>
  </si>
  <si>
    <t>Volume of Spiral</t>
  </si>
  <si>
    <t>Cumm</t>
  </si>
  <si>
    <t>Volume of Each tie</t>
  </si>
  <si>
    <t>Circumference</t>
  </si>
  <si>
    <t>S</t>
  </si>
  <si>
    <t xml:space="preserve">DESIGN OF PILE </t>
  </si>
  <si>
    <t>Lateral Reinforcement Near the Pile End</t>
  </si>
  <si>
    <t xml:space="preserve">0.6% Volume of Gross Volume </t>
  </si>
  <si>
    <t>Volume of each tie</t>
  </si>
  <si>
    <t>Pitch (or) Spacing</t>
  </si>
  <si>
    <t>Provision of Spacer Forks &amp; Links</t>
  </si>
  <si>
    <t>provide 12mm or 16 mm dia of bar</t>
  </si>
  <si>
    <t>Minimum Longitudinal Reft@0.8%</t>
  </si>
  <si>
    <t>Dia Provided for Bar @ Longintudinal</t>
  </si>
  <si>
    <t>Dia of bar @ lateral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</si>
</sst>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zoomScale="120" zoomScaleNormal="120" workbookViewId="0">
      <selection activeCell="A25" sqref="A25"/>
    </sheetView>
  </sheetViews>
  <sheetFormatPr defaultRowHeight="15"/>
  <cols>
    <col min="1" max="1" width="43" style="1" bestFit="1" customWidth="1"/>
    <col min="2" max="2" width="20" style="1" bestFit="1" customWidth="1"/>
    <col min="3" max="4" width="9.140625" style="1"/>
    <col min="5" max="5" width="37" style="1" bestFit="1" customWidth="1"/>
    <col min="6" max="6" width="12.85546875" style="1" bestFit="1" customWidth="1"/>
    <col min="7" max="16384" width="9.140625" style="1"/>
  </cols>
  <sheetData>
    <row r="1" spans="1:16">
      <c r="A1" s="4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2" t="s">
        <v>0</v>
      </c>
      <c r="E2" s="2" t="s">
        <v>43</v>
      </c>
    </row>
    <row r="3" spans="1:16">
      <c r="A3" s="1" t="s">
        <v>2</v>
      </c>
      <c r="B3" s="1">
        <v>8</v>
      </c>
      <c r="C3" s="1" t="s">
        <v>4</v>
      </c>
      <c r="E3" s="1" t="s">
        <v>33</v>
      </c>
      <c r="F3" s="1">
        <f>0.2/100*(B7*C7)</f>
        <v>320</v>
      </c>
      <c r="G3" s="1" t="s">
        <v>34</v>
      </c>
    </row>
    <row r="4" spans="1:16">
      <c r="A4" s="1" t="s">
        <v>1</v>
      </c>
      <c r="B4" s="1">
        <v>0.6</v>
      </c>
      <c r="C4" s="1" t="s">
        <v>4</v>
      </c>
      <c r="E4" s="1" t="s">
        <v>35</v>
      </c>
      <c r="F4" s="1">
        <f>8</f>
        <v>8</v>
      </c>
      <c r="G4" s="1" t="s">
        <v>8</v>
      </c>
    </row>
    <row r="5" spans="1:16">
      <c r="A5" s="1" t="s">
        <v>3</v>
      </c>
      <c r="B5" s="1">
        <f>B3+B4</f>
        <v>8.6</v>
      </c>
      <c r="C5" s="1" t="s">
        <v>4</v>
      </c>
      <c r="E5" s="1" t="s">
        <v>36</v>
      </c>
      <c r="F5" s="1">
        <f>2*((B7-50-50)+(C7-50-50))</f>
        <v>1200</v>
      </c>
      <c r="G5" s="1" t="s">
        <v>8</v>
      </c>
    </row>
    <row r="6" spans="1:16">
      <c r="A6" s="1" t="s">
        <v>5</v>
      </c>
      <c r="B6" s="1" t="s">
        <v>6</v>
      </c>
      <c r="C6" s="1" t="s">
        <v>7</v>
      </c>
      <c r="E6" s="1" t="s">
        <v>37</v>
      </c>
      <c r="F6" s="1">
        <f>F5/4</f>
        <v>300</v>
      </c>
      <c r="G6" s="1" t="s">
        <v>8</v>
      </c>
      <c r="H6" s="1" t="s">
        <v>38</v>
      </c>
    </row>
    <row r="7" spans="1:16">
      <c r="B7" s="1">
        <v>400</v>
      </c>
      <c r="C7" s="1">
        <v>400</v>
      </c>
      <c r="D7" s="1" t="s">
        <v>8</v>
      </c>
      <c r="E7" s="1" t="s">
        <v>39</v>
      </c>
      <c r="F7" s="1">
        <f>0.25*3.14*8^2</f>
        <v>50.24</v>
      </c>
      <c r="G7" s="1" t="s">
        <v>18</v>
      </c>
    </row>
    <row r="8" spans="1:16">
      <c r="A8" s="1" t="s">
        <v>9</v>
      </c>
      <c r="B8" s="1">
        <v>800</v>
      </c>
      <c r="C8" s="1" t="s">
        <v>10</v>
      </c>
      <c r="E8" s="1" t="s">
        <v>40</v>
      </c>
      <c r="F8" s="1">
        <f>F7*F5</f>
        <v>60288</v>
      </c>
      <c r="G8" s="1" t="s">
        <v>34</v>
      </c>
    </row>
    <row r="9" spans="1:16">
      <c r="A9" s="1" t="s">
        <v>22</v>
      </c>
      <c r="B9" s="1">
        <v>20</v>
      </c>
      <c r="C9" s="1" t="s">
        <v>23</v>
      </c>
      <c r="E9" s="1" t="s">
        <v>41</v>
      </c>
      <c r="F9" s="1">
        <f>FLOOR(F8/F3,10)</f>
        <v>180</v>
      </c>
      <c r="G9" s="1" t="s">
        <v>8</v>
      </c>
    </row>
    <row r="10" spans="1:16">
      <c r="E10" s="1" t="s">
        <v>42</v>
      </c>
      <c r="F10" s="1">
        <f>MIN(F9,0.5*B7)</f>
        <v>180</v>
      </c>
      <c r="G10" s="1" t="s">
        <v>8</v>
      </c>
    </row>
    <row r="11" spans="1:16">
      <c r="A11" s="2" t="s">
        <v>14</v>
      </c>
    </row>
    <row r="12" spans="1:16">
      <c r="A12" s="1" t="s">
        <v>11</v>
      </c>
      <c r="B12" s="1">
        <f>B5/(B7/1000)</f>
        <v>21.499999999999996</v>
      </c>
      <c r="E12" s="2" t="s">
        <v>44</v>
      </c>
      <c r="F12" s="1" t="s">
        <v>45</v>
      </c>
    </row>
    <row r="13" spans="1:16">
      <c r="A13" s="3" t="str">
        <f>IF(B12&gt;12,"Design for Long Column Pile","the section is short column")</f>
        <v>Design for Long Column Pile</v>
      </c>
      <c r="E13" s="1" t="s">
        <v>46</v>
      </c>
      <c r="F13" s="1">
        <f>3*B7</f>
        <v>1200</v>
      </c>
    </row>
    <row r="14" spans="1:16">
      <c r="A14" s="1" t="s">
        <v>12</v>
      </c>
      <c r="B14" s="1">
        <f>FLOOR(1.25-B5/(48*B7/1000),0.1)</f>
        <v>0.8</v>
      </c>
      <c r="E14" s="1" t="s">
        <v>47</v>
      </c>
      <c r="F14" s="1">
        <f>0.6/100*(B7*C7*1)</f>
        <v>960</v>
      </c>
      <c r="G14" s="1" t="s">
        <v>48</v>
      </c>
    </row>
    <row r="15" spans="1:16">
      <c r="A15" s="1" t="s">
        <v>13</v>
      </c>
      <c r="B15" s="1">
        <f>B8/B14</f>
        <v>1000</v>
      </c>
      <c r="E15" s="1" t="s">
        <v>35</v>
      </c>
      <c r="F15" s="1">
        <v>8</v>
      </c>
      <c r="G15" s="1" t="s">
        <v>8</v>
      </c>
    </row>
    <row r="16" spans="1:16">
      <c r="E16" s="1" t="s">
        <v>39</v>
      </c>
      <c r="F16" s="1">
        <f>3.14*0.25*F15*F15</f>
        <v>50.24</v>
      </c>
      <c r="G16" s="1" t="s">
        <v>18</v>
      </c>
    </row>
    <row r="17" spans="1:7">
      <c r="A17" s="2" t="s">
        <v>15</v>
      </c>
      <c r="E17" s="1" t="s">
        <v>50</v>
      </c>
      <c r="F17" s="1">
        <f>3.14*(B7-50-50-F15/2)</f>
        <v>929.44</v>
      </c>
      <c r="G17" s="1" t="s">
        <v>18</v>
      </c>
    </row>
    <row r="18" spans="1:7">
      <c r="A18" s="1" t="s">
        <v>16</v>
      </c>
      <c r="B18" s="1">
        <f>B15</f>
        <v>1000</v>
      </c>
      <c r="C18" s="1" t="s">
        <v>10</v>
      </c>
      <c r="E18" s="1" t="s">
        <v>49</v>
      </c>
      <c r="F18" s="1">
        <f>F17*F16</f>
        <v>46695.065600000002</v>
      </c>
      <c r="G18" s="1" t="s">
        <v>34</v>
      </c>
    </row>
    <row r="19" spans="1:7">
      <c r="A19" s="1" t="s">
        <v>17</v>
      </c>
      <c r="B19" s="1">
        <f>B7*C7</f>
        <v>160000</v>
      </c>
      <c r="C19" s="1" t="s">
        <v>18</v>
      </c>
      <c r="E19" s="1" t="s">
        <v>51</v>
      </c>
      <c r="F19" s="1">
        <f>ROUNDUP(F18/F14,-1.9)</f>
        <v>50</v>
      </c>
      <c r="G19" s="1" t="s">
        <v>8</v>
      </c>
    </row>
    <row r="20" spans="1:7">
      <c r="A20" s="1" t="s">
        <v>20</v>
      </c>
      <c r="B20" s="1">
        <v>5</v>
      </c>
    </row>
    <row r="21" spans="1:7">
      <c r="A21" s="1" t="s">
        <v>21</v>
      </c>
      <c r="B21" s="1">
        <v>190</v>
      </c>
      <c r="E21" s="2" t="s">
        <v>53</v>
      </c>
    </row>
    <row r="22" spans="1:7">
      <c r="A22" s="1" t="s">
        <v>19</v>
      </c>
      <c r="B22" s="1">
        <f>(B18*1000-B20*B19)/(B20+B21)</f>
        <v>1025.6410256410256</v>
      </c>
      <c r="C22" s="1" t="s">
        <v>18</v>
      </c>
      <c r="E22" s="1" t="s">
        <v>54</v>
      </c>
      <c r="F22" s="1">
        <f>0.6/100*(B7*C7*1)</f>
        <v>960</v>
      </c>
      <c r="G22" s="1" t="s">
        <v>48</v>
      </c>
    </row>
    <row r="23" spans="1:7">
      <c r="A23" s="1" t="s">
        <v>24</v>
      </c>
      <c r="E23" s="1" t="s">
        <v>55</v>
      </c>
      <c r="F23" s="1">
        <f>F8</f>
        <v>60288</v>
      </c>
      <c r="G23" s="1" t="s">
        <v>48</v>
      </c>
    </row>
    <row r="24" spans="1:7">
      <c r="A24" s="3" t="str">
        <f>IF(B5&gt;30*B7/1000,"Choose 1.5% or 2%of Gross area","Choose 1.25% of Gross Area")</f>
        <v>Choose 1.25% of Gross Area</v>
      </c>
      <c r="E24" s="1" t="s">
        <v>56</v>
      </c>
      <c r="F24" s="1">
        <f>ROUNDUP(F23/F22,-1)</f>
        <v>70</v>
      </c>
      <c r="G24" s="1" t="s">
        <v>8</v>
      </c>
    </row>
    <row r="25" spans="1:7">
      <c r="A25" s="1" t="s">
        <v>30</v>
      </c>
      <c r="B25" s="1">
        <f>1.25/100*(B7*C7)</f>
        <v>2000</v>
      </c>
      <c r="C25" s="1" t="s">
        <v>18</v>
      </c>
      <c r="E25" s="1" t="s">
        <v>42</v>
      </c>
      <c r="F25" s="1">
        <f>F24</f>
        <v>70</v>
      </c>
      <c r="G25" s="1" t="s">
        <v>8</v>
      </c>
    </row>
    <row r="26" spans="1:7">
      <c r="A26" s="1" t="s">
        <v>31</v>
      </c>
      <c r="B26" s="1">
        <f>1.5/100*(B7*C7)</f>
        <v>2400</v>
      </c>
      <c r="C26" s="1" t="s">
        <v>18</v>
      </c>
    </row>
    <row r="27" spans="1:7">
      <c r="A27" s="1" t="s">
        <v>32</v>
      </c>
      <c r="B27" s="1">
        <f>2/100*(B7*C7)</f>
        <v>3200</v>
      </c>
      <c r="C27" s="1" t="s">
        <v>18</v>
      </c>
      <c r="E27" s="1" t="s">
        <v>57</v>
      </c>
    </row>
    <row r="28" spans="1:7">
      <c r="A28" s="1" t="s">
        <v>19</v>
      </c>
      <c r="B28" s="1">
        <f>MAX(B25,B22)</f>
        <v>2000</v>
      </c>
      <c r="C28" s="1" t="s">
        <v>18</v>
      </c>
      <c r="E28" s="1" t="s">
        <v>58</v>
      </c>
    </row>
    <row r="29" spans="1:7">
      <c r="A29" s="1" t="s">
        <v>25</v>
      </c>
      <c r="B29" s="1">
        <v>25</v>
      </c>
      <c r="C29" s="1" t="s">
        <v>8</v>
      </c>
    </row>
    <row r="30" spans="1:7">
      <c r="A30" s="1" t="s">
        <v>26</v>
      </c>
      <c r="B30" s="1">
        <f>0.25*3.14*B29^2</f>
        <v>490.625</v>
      </c>
      <c r="C30" s="1" t="s">
        <v>18</v>
      </c>
    </row>
    <row r="31" spans="1:7">
      <c r="A31" s="1" t="s">
        <v>27</v>
      </c>
      <c r="B31" s="1">
        <f>ROUNDUP(B28/B30,0)</f>
        <v>5</v>
      </c>
    </row>
    <row r="32" spans="1:7">
      <c r="A32" s="1" t="s">
        <v>28</v>
      </c>
      <c r="B32" s="1">
        <f>B31*B30</f>
        <v>2453.125</v>
      </c>
      <c r="C32" s="1" t="s">
        <v>18</v>
      </c>
    </row>
    <row r="33" spans="1:3">
      <c r="A33" s="1" t="s">
        <v>29</v>
      </c>
      <c r="B33" s="1">
        <v>50</v>
      </c>
      <c r="C33" s="1" t="s">
        <v>8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showGridLines="0" tabSelected="1" workbookViewId="0">
      <selection activeCell="B24" sqref="B24"/>
    </sheetView>
  </sheetViews>
  <sheetFormatPr defaultRowHeight="15"/>
  <cols>
    <col min="1" max="1" width="43" style="1" bestFit="1" customWidth="1"/>
    <col min="2" max="2" width="20" style="1" bestFit="1" customWidth="1"/>
    <col min="3" max="4" width="9.140625" style="1"/>
    <col min="5" max="5" width="37" style="1" bestFit="1" customWidth="1"/>
    <col min="6" max="6" width="12.85546875" style="1" bestFit="1" customWidth="1"/>
    <col min="7" max="16384" width="9.140625" style="1"/>
  </cols>
  <sheetData>
    <row r="1" spans="1:16">
      <c r="A1" s="4" t="s">
        <v>52</v>
      </c>
      <c r="B1" s="4"/>
      <c r="C1" s="4"/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  <c r="P1" s="6"/>
    </row>
    <row r="2" spans="1:16">
      <c r="A2" s="7" t="s">
        <v>0</v>
      </c>
      <c r="B2" s="8"/>
      <c r="C2" s="8"/>
      <c r="D2" s="11"/>
      <c r="E2" s="7" t="s">
        <v>43</v>
      </c>
      <c r="F2" s="8"/>
      <c r="G2" s="8"/>
      <c r="H2" s="11"/>
    </row>
    <row r="3" spans="1:16">
      <c r="A3" s="8" t="s">
        <v>2</v>
      </c>
      <c r="B3" s="8">
        <v>16</v>
      </c>
      <c r="C3" s="8" t="s">
        <v>4</v>
      </c>
      <c r="D3" s="11"/>
      <c r="E3" s="8" t="s">
        <v>33</v>
      </c>
      <c r="F3" s="8">
        <f>0.2/100*(B7*C7)</f>
        <v>451.25</v>
      </c>
      <c r="G3" s="8" t="s">
        <v>34</v>
      </c>
      <c r="H3" s="11"/>
    </row>
    <row r="4" spans="1:16">
      <c r="A4" s="8" t="s">
        <v>1</v>
      </c>
      <c r="B4" s="8">
        <v>0.6</v>
      </c>
      <c r="C4" s="8" t="s">
        <v>4</v>
      </c>
      <c r="D4" s="11"/>
      <c r="E4" s="8"/>
      <c r="F4" s="8"/>
      <c r="G4" s="8"/>
      <c r="H4" s="11"/>
    </row>
    <row r="5" spans="1:16">
      <c r="A5" s="8" t="s">
        <v>3</v>
      </c>
      <c r="B5" s="8">
        <f>B3+B4</f>
        <v>16.600000000000001</v>
      </c>
      <c r="C5" s="8" t="s">
        <v>4</v>
      </c>
      <c r="D5" s="11"/>
      <c r="E5" s="8" t="s">
        <v>36</v>
      </c>
      <c r="F5" s="8">
        <f>2*((B7-50-50)+(C7-50-50))</f>
        <v>1500</v>
      </c>
      <c r="G5" s="8" t="s">
        <v>8</v>
      </c>
      <c r="H5" s="11"/>
    </row>
    <row r="6" spans="1:16">
      <c r="A6" s="8" t="s">
        <v>5</v>
      </c>
      <c r="B6" s="8" t="s">
        <v>6</v>
      </c>
      <c r="C6" s="8" t="s">
        <v>7</v>
      </c>
      <c r="D6" s="11"/>
      <c r="E6" s="8" t="s">
        <v>37</v>
      </c>
      <c r="F6" s="8">
        <f>F5/4</f>
        <v>375</v>
      </c>
      <c r="G6" s="8" t="s">
        <v>8</v>
      </c>
      <c r="H6" s="8" t="s">
        <v>38</v>
      </c>
    </row>
    <row r="7" spans="1:16">
      <c r="A7" s="8"/>
      <c r="B7" s="8">
        <v>475</v>
      </c>
      <c r="C7" s="10">
        <v>475</v>
      </c>
      <c r="D7" s="10" t="s">
        <v>8</v>
      </c>
      <c r="E7" s="8" t="s">
        <v>39</v>
      </c>
      <c r="F7" s="8">
        <f>0.25*3.14*8^2</f>
        <v>50.24</v>
      </c>
      <c r="G7" s="8" t="s">
        <v>18</v>
      </c>
      <c r="H7" s="11"/>
    </row>
    <row r="8" spans="1:16">
      <c r="A8" s="8" t="s">
        <v>9</v>
      </c>
      <c r="B8" s="8">
        <v>950</v>
      </c>
      <c r="C8" s="8" t="s">
        <v>10</v>
      </c>
      <c r="D8" s="11"/>
      <c r="E8" s="8" t="s">
        <v>40</v>
      </c>
      <c r="F8" s="8">
        <f>F7*F5</f>
        <v>75360</v>
      </c>
      <c r="G8" s="8" t="s">
        <v>34</v>
      </c>
      <c r="H8" s="11"/>
    </row>
    <row r="9" spans="1:16">
      <c r="A9" s="8" t="s">
        <v>22</v>
      </c>
      <c r="B9" s="8">
        <v>25</v>
      </c>
      <c r="C9" s="8" t="s">
        <v>23</v>
      </c>
      <c r="D9" s="11"/>
      <c r="E9" s="8" t="s">
        <v>41</v>
      </c>
      <c r="F9" s="8">
        <f>FLOOR(F8/F3,10)</f>
        <v>160</v>
      </c>
      <c r="G9" s="8" t="s">
        <v>8</v>
      </c>
      <c r="H9" s="11"/>
    </row>
    <row r="10" spans="1:16">
      <c r="A10" s="8" t="s">
        <v>60</v>
      </c>
      <c r="B10" s="8">
        <v>16</v>
      </c>
      <c r="C10" s="8" t="s">
        <v>8</v>
      </c>
      <c r="D10" s="11"/>
      <c r="E10" s="8" t="s">
        <v>42</v>
      </c>
      <c r="F10" s="8">
        <f>MIN(F9,0.5*B7)</f>
        <v>160</v>
      </c>
      <c r="G10" s="8" t="s">
        <v>8</v>
      </c>
      <c r="H10" s="11"/>
    </row>
    <row r="11" spans="1:16">
      <c r="A11" s="8" t="s">
        <v>61</v>
      </c>
      <c r="B11" s="8">
        <f>8</f>
        <v>8</v>
      </c>
      <c r="C11" s="8" t="s">
        <v>8</v>
      </c>
      <c r="D11" s="11"/>
      <c r="E11" s="11"/>
      <c r="F11" s="11"/>
      <c r="G11" s="11"/>
      <c r="H11" s="11"/>
    </row>
    <row r="12" spans="1:16">
      <c r="A12" s="8" t="s">
        <v>29</v>
      </c>
      <c r="B12" s="8">
        <v>50</v>
      </c>
      <c r="C12" s="8" t="s">
        <v>8</v>
      </c>
      <c r="D12" s="11"/>
      <c r="E12" s="7" t="s">
        <v>44</v>
      </c>
      <c r="F12" s="8" t="s">
        <v>45</v>
      </c>
      <c r="G12" s="8"/>
      <c r="H12" s="11"/>
    </row>
    <row r="13" spans="1:16">
      <c r="A13" s="8" t="s">
        <v>20</v>
      </c>
      <c r="B13" s="8">
        <v>6</v>
      </c>
      <c r="C13" s="8"/>
      <c r="D13" s="11"/>
      <c r="E13" s="8" t="s">
        <v>46</v>
      </c>
      <c r="F13" s="8">
        <f>3*B7</f>
        <v>1425</v>
      </c>
      <c r="G13" s="8"/>
      <c r="H13" s="11"/>
    </row>
    <row r="14" spans="1:16">
      <c r="A14" s="8" t="s">
        <v>21</v>
      </c>
      <c r="B14" s="8">
        <v>190</v>
      </c>
      <c r="C14" s="8"/>
      <c r="E14" s="8" t="s">
        <v>47</v>
      </c>
      <c r="F14" s="8">
        <f>0.6/100*(B7*C7*1)</f>
        <v>1353.75</v>
      </c>
      <c r="G14" s="8" t="s">
        <v>48</v>
      </c>
    </row>
    <row r="15" spans="1:16">
      <c r="A15" s="8"/>
      <c r="B15" s="8"/>
      <c r="C15" s="11"/>
      <c r="E15" s="8" t="s">
        <v>35</v>
      </c>
      <c r="F15" s="8">
        <v>8</v>
      </c>
      <c r="G15" s="8" t="s">
        <v>8</v>
      </c>
      <c r="H15" s="11"/>
    </row>
    <row r="16" spans="1:16">
      <c r="A16" s="7" t="s">
        <v>14</v>
      </c>
      <c r="B16" s="8"/>
      <c r="E16" s="8" t="s">
        <v>39</v>
      </c>
      <c r="F16" s="8">
        <f>3.14*0.25*F15*F15</f>
        <v>50.24</v>
      </c>
      <c r="G16" s="8" t="s">
        <v>18</v>
      </c>
    </row>
    <row r="17" spans="1:7">
      <c r="A17" s="8" t="s">
        <v>11</v>
      </c>
      <c r="B17" s="8">
        <f>B5/(B7/1000)</f>
        <v>34.947368421052637</v>
      </c>
      <c r="E17" s="8" t="s">
        <v>50</v>
      </c>
      <c r="F17" s="8">
        <f>3.14*(B7-50-50-F15/2)</f>
        <v>1164.94</v>
      </c>
      <c r="G17" s="8" t="s">
        <v>18</v>
      </c>
    </row>
    <row r="18" spans="1:7">
      <c r="A18" s="9" t="str">
        <f>IF(B17&gt;12,"Design for Long Column Pile","the section is short column")</f>
        <v>Design for Long Column Pile</v>
      </c>
      <c r="B18" s="8"/>
      <c r="E18" s="8" t="s">
        <v>49</v>
      </c>
      <c r="F18" s="8">
        <f>F17*F16</f>
        <v>58526.585600000006</v>
      </c>
      <c r="G18" s="8" t="s">
        <v>34</v>
      </c>
    </row>
    <row r="19" spans="1:7">
      <c r="A19" s="8" t="s">
        <v>12</v>
      </c>
      <c r="B19" s="8">
        <v>0.51</v>
      </c>
      <c r="E19" s="8" t="s">
        <v>51</v>
      </c>
      <c r="F19" s="8">
        <f>ROUNDUP(F18/F14,-1.9)</f>
        <v>50</v>
      </c>
      <c r="G19" s="8" t="s">
        <v>8</v>
      </c>
    </row>
    <row r="20" spans="1:7">
      <c r="A20" s="8" t="s">
        <v>13</v>
      </c>
      <c r="B20" s="8">
        <f>B8/B19</f>
        <v>1862.7450980392157</v>
      </c>
    </row>
    <row r="21" spans="1:7">
      <c r="E21" s="7" t="s">
        <v>53</v>
      </c>
      <c r="F21" s="8"/>
      <c r="G21" s="8"/>
    </row>
    <row r="22" spans="1:7">
      <c r="A22" s="7" t="s">
        <v>15</v>
      </c>
      <c r="B22" s="8"/>
      <c r="C22" s="8"/>
      <c r="E22" s="8" t="s">
        <v>54</v>
      </c>
      <c r="F22" s="8">
        <f>0.6/100*(B7*C7*1)</f>
        <v>1353.75</v>
      </c>
      <c r="G22" s="8" t="s">
        <v>48</v>
      </c>
    </row>
    <row r="23" spans="1:7">
      <c r="A23" s="8" t="s">
        <v>16</v>
      </c>
      <c r="B23" s="8">
        <f>B20</f>
        <v>1862.7450980392157</v>
      </c>
      <c r="C23" s="8" t="s">
        <v>10</v>
      </c>
      <c r="E23" s="8" t="s">
        <v>55</v>
      </c>
      <c r="F23" s="8">
        <f>F8</f>
        <v>75360</v>
      </c>
      <c r="G23" s="8" t="s">
        <v>48</v>
      </c>
    </row>
    <row r="24" spans="1:7">
      <c r="A24" s="8" t="s">
        <v>17</v>
      </c>
      <c r="B24" s="8">
        <f>B7*C7</f>
        <v>225625</v>
      </c>
      <c r="C24" s="8" t="s">
        <v>18</v>
      </c>
      <c r="E24" s="8" t="s">
        <v>56</v>
      </c>
      <c r="F24" s="8">
        <f>ROUNDUP(F23/F22,-1)</f>
        <v>60</v>
      </c>
      <c r="G24" s="8" t="s">
        <v>8</v>
      </c>
    </row>
    <row r="25" spans="1:7">
      <c r="A25" s="8" t="s">
        <v>19</v>
      </c>
      <c r="B25" s="8">
        <f>(B23*1000-B13*B24)/(B13+B14)</f>
        <v>2596.9137655062023</v>
      </c>
      <c r="C25" s="8" t="s">
        <v>18</v>
      </c>
      <c r="E25" s="8" t="s">
        <v>42</v>
      </c>
      <c r="F25" s="8">
        <f>F24</f>
        <v>60</v>
      </c>
      <c r="G25" s="8" t="s">
        <v>8</v>
      </c>
    </row>
    <row r="26" spans="1:7">
      <c r="A26" s="8" t="s">
        <v>24</v>
      </c>
      <c r="B26" s="8"/>
      <c r="C26" s="8"/>
      <c r="E26" s="8"/>
      <c r="F26" s="8"/>
      <c r="G26" s="8"/>
    </row>
    <row r="27" spans="1:7">
      <c r="A27" s="9" t="str">
        <f>IF(B5&lt;30*B7/1000,"Choose 0.8%of Gross area","don’t Choose 0.8% of Gross area")</f>
        <v>don’t Choose 0.8% of Gross area</v>
      </c>
      <c r="B27" s="8"/>
      <c r="C27" s="8"/>
      <c r="E27" s="8" t="s">
        <v>57</v>
      </c>
      <c r="F27" s="8"/>
      <c r="G27" s="8"/>
    </row>
    <row r="28" spans="1:7">
      <c r="A28" s="8" t="s">
        <v>59</v>
      </c>
      <c r="B28" s="8">
        <f>0.8/100*(B7*C7)</f>
        <v>1805</v>
      </c>
      <c r="C28" s="8" t="s">
        <v>18</v>
      </c>
      <c r="E28" s="8" t="s">
        <v>58</v>
      </c>
      <c r="F28" s="8"/>
      <c r="G28" s="8"/>
    </row>
    <row r="29" spans="1:7">
      <c r="A29" s="8" t="s">
        <v>19</v>
      </c>
      <c r="B29" s="8">
        <f>MAX(B28,B25)</f>
        <v>2596.9137655062023</v>
      </c>
      <c r="C29" s="8" t="s">
        <v>18</v>
      </c>
    </row>
    <row r="30" spans="1:7">
      <c r="A30" s="8" t="s">
        <v>26</v>
      </c>
      <c r="B30" s="8">
        <f>0.25*3.14*B10^2</f>
        <v>200.96</v>
      </c>
      <c r="C30" s="8" t="s">
        <v>18</v>
      </c>
    </row>
    <row r="31" spans="1:7">
      <c r="A31" s="8" t="s">
        <v>27</v>
      </c>
      <c r="B31" s="8">
        <f>ROUNDUP(B29/B30,0)</f>
        <v>13</v>
      </c>
      <c r="C31" s="8"/>
    </row>
    <row r="32" spans="1:7">
      <c r="A32" s="8" t="s">
        <v>28</v>
      </c>
      <c r="B32" s="8">
        <f>B31*B30</f>
        <v>2612.48</v>
      </c>
      <c r="C32" s="8" t="s">
        <v>18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 LAB</dc:creator>
  <cp:lastModifiedBy>CAD LAB</cp:lastModifiedBy>
  <dcterms:created xsi:type="dcterms:W3CDTF">2025-09-25T08:30:14Z</dcterms:created>
  <dcterms:modified xsi:type="dcterms:W3CDTF">2025-10-09T11:16:09Z</dcterms:modified>
</cp:coreProperties>
</file>