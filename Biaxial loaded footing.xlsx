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E45859875453E7/Documents/"/>
    </mc:Choice>
  </mc:AlternateContent>
  <xr:revisionPtr revIDLastSave="218" documentId="14_{91335761-D6EC-4C68-84F8-439F659A052F}" xr6:coauthVersionLast="47" xr6:coauthVersionMax="47" xr10:uidLastSave="{B0A45271-6E83-4F93-9613-2F8C7FB212C2}"/>
  <bookViews>
    <workbookView xWindow="-108" yWindow="-108" windowWidth="23256" windowHeight="12456" xr2:uid="{C4B3E803-1FF1-4D16-BAA3-AD2170389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16" i="1"/>
  <c r="J12" i="1" l="1"/>
  <c r="K11" i="1"/>
  <c r="K10" i="1"/>
  <c r="K9" i="1"/>
  <c r="G35" i="1"/>
  <c r="H34" i="1"/>
  <c r="H33" i="1"/>
  <c r="H32" i="1"/>
  <c r="H30" i="1"/>
  <c r="H31" i="1"/>
  <c r="G27" i="1"/>
  <c r="H9" i="1"/>
  <c r="E22" i="1"/>
  <c r="H8" i="1" s="1"/>
  <c r="H15" i="1" s="1"/>
  <c r="H17" i="1" s="1"/>
  <c r="S5" i="1"/>
  <c r="B15" i="1"/>
  <c r="B30" i="1" s="1"/>
  <c r="E12" i="1" s="1"/>
  <c r="H11" i="1" l="1"/>
  <c r="H26" i="1"/>
  <c r="E15" i="1"/>
  <c r="B16" i="1"/>
  <c r="B32" i="1"/>
  <c r="B33" i="1"/>
  <c r="B35" i="1" s="1"/>
  <c r="B17" i="1"/>
  <c r="E16" i="1" l="1"/>
  <c r="E18" i="1" s="1"/>
  <c r="E19" i="1" s="1"/>
  <c r="E25" i="1"/>
  <c r="E26" i="1" s="1"/>
  <c r="D29" i="1" s="1"/>
  <c r="B18" i="1"/>
  <c r="B25" i="1"/>
  <c r="A26" i="1" s="1"/>
  <c r="B19" i="1" l="1"/>
  <c r="A22" i="1" s="1"/>
  <c r="S8" i="1"/>
</calcChain>
</file>

<file path=xl/sharedStrings.xml><?xml version="1.0" encoding="utf-8"?>
<sst xmlns="http://schemas.openxmlformats.org/spreadsheetml/2006/main" count="111" uniqueCount="84">
  <si>
    <t>INPUT DATA</t>
  </si>
  <si>
    <t xml:space="preserve">LOAD </t>
  </si>
  <si>
    <t>Mx</t>
  </si>
  <si>
    <t>My</t>
  </si>
  <si>
    <t>SBC</t>
  </si>
  <si>
    <t>Fck</t>
  </si>
  <si>
    <t>Fy</t>
  </si>
  <si>
    <t>N/ sq mm</t>
  </si>
  <si>
    <t>KN /sq m</t>
  </si>
  <si>
    <t>KN  m</t>
  </si>
  <si>
    <t>KN m</t>
  </si>
  <si>
    <t>KN</t>
  </si>
  <si>
    <t>size of column</t>
  </si>
  <si>
    <t>mm</t>
  </si>
  <si>
    <t>Dia of Bar</t>
  </si>
  <si>
    <t>REQUIRED PLAN AREA</t>
  </si>
  <si>
    <t>LOAD</t>
  </si>
  <si>
    <t>SELF WEIGHT</t>
  </si>
  <si>
    <t>TOTAL LOAD</t>
  </si>
  <si>
    <t>AREA OF FOOTING REQ</t>
  </si>
  <si>
    <t>sq m</t>
  </si>
  <si>
    <t>Bf-dc+bc</t>
  </si>
  <si>
    <t>Lf=</t>
  </si>
  <si>
    <t>bc-dc</t>
  </si>
  <si>
    <t>Bf^2+0.2BF</t>
  </si>
  <si>
    <t>Lf</t>
  </si>
  <si>
    <t>Bf+0.2</t>
  </si>
  <si>
    <t>Size of footing req</t>
  </si>
  <si>
    <t>m</t>
  </si>
  <si>
    <t>Bf</t>
  </si>
  <si>
    <t>Lf = Bf+bc-dc</t>
  </si>
  <si>
    <t>Check for SBC</t>
  </si>
  <si>
    <t>q1</t>
  </si>
  <si>
    <t>NET UP WARD PRESSSURE</t>
  </si>
  <si>
    <t>Qa</t>
  </si>
  <si>
    <t>Pmax</t>
  </si>
  <si>
    <t>Pmin</t>
  </si>
  <si>
    <t>Check</t>
  </si>
  <si>
    <t>For Tension</t>
  </si>
  <si>
    <t>Depth calculation</t>
  </si>
  <si>
    <t>One way shear</t>
  </si>
  <si>
    <t>Pt(%)</t>
  </si>
  <si>
    <t>τ</t>
  </si>
  <si>
    <t>τc</t>
  </si>
  <si>
    <t>d1</t>
  </si>
  <si>
    <t>Bending moment</t>
  </si>
  <si>
    <t>Mu</t>
  </si>
  <si>
    <t>KN m /m</t>
  </si>
  <si>
    <t>d3</t>
  </si>
  <si>
    <t>Dreq</t>
  </si>
  <si>
    <t>Clear cover</t>
  </si>
  <si>
    <t>Depth Provided</t>
  </si>
  <si>
    <t>dprov</t>
  </si>
  <si>
    <t>Check for Pt</t>
  </si>
  <si>
    <t>R</t>
  </si>
  <si>
    <t>Pt prov(%)</t>
  </si>
  <si>
    <t>Reinforcement</t>
  </si>
  <si>
    <t>Ast req</t>
  </si>
  <si>
    <t>sq mm /m</t>
  </si>
  <si>
    <t>area of bar</t>
  </si>
  <si>
    <t xml:space="preserve"> sqmm</t>
  </si>
  <si>
    <t>Spacing req</t>
  </si>
  <si>
    <t>Total reinforcement</t>
  </si>
  <si>
    <t>Spacing prov c/c</t>
  </si>
  <si>
    <t>area of reinforcement</t>
  </si>
  <si>
    <t>sq mm</t>
  </si>
  <si>
    <t>No of Bars req</t>
  </si>
  <si>
    <t>No.of bars prov</t>
  </si>
  <si>
    <t>Check for One way shear</t>
  </si>
  <si>
    <t>τv</t>
  </si>
  <si>
    <t>Check for Two way shear</t>
  </si>
  <si>
    <t>a</t>
  </si>
  <si>
    <t>b</t>
  </si>
  <si>
    <t>Vu2</t>
  </si>
  <si>
    <t>Vu1</t>
  </si>
  <si>
    <t>0.25sqrt(Fck)</t>
  </si>
  <si>
    <t>mpa</t>
  </si>
  <si>
    <t>Check for Bearing</t>
  </si>
  <si>
    <t>At column and footing interface</t>
  </si>
  <si>
    <t>Pu</t>
  </si>
  <si>
    <t>Fbr1</t>
  </si>
  <si>
    <t>0.45Fck</t>
  </si>
  <si>
    <t>At bottom of Foundation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</si>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</sst>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7A3A-8E39-4E63-A227-0D3B84886276}">
  <dimension ref="A2:S35"/>
  <sheetViews>
    <sheetView tabSelected="1" topLeftCell="A7" workbookViewId="0">
      <selection activeCell="O22" sqref="O22"/>
    </sheetView>
  </sheetViews>
  <sheetFormatPr defaultRowHeight="14.4" x14ac:dyDescent="0.3"/>
  <cols>
    <col min="1" max="1" width="22.5546875" style="1" bestFit="1" customWidth="1"/>
    <col min="2" max="3" width="8.88671875" style="1"/>
    <col min="4" max="4" width="31" style="1" bestFit="1" customWidth="1"/>
    <col min="5" max="6" width="8.88671875" style="1"/>
    <col min="7" max="7" width="20.88671875" style="1" bestFit="1" customWidth="1"/>
    <col min="8" max="9" width="8.88671875" style="1"/>
    <col min="10" max="10" width="26.109375" style="1" bestFit="1" customWidth="1"/>
    <col min="11" max="17" width="8.88671875" style="1"/>
    <col min="18" max="18" width="10.33203125" style="1" bestFit="1" customWidth="1"/>
    <col min="19" max="16384" width="8.88671875" style="1"/>
  </cols>
  <sheetData>
    <row r="2" spans="1:19" x14ac:dyDescent="0.3">
      <c r="O2" s="1" t="s">
        <v>42</v>
      </c>
    </row>
    <row r="3" spans="1:19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9" x14ac:dyDescent="0.3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7"/>
      <c r="R4" s="1" t="s">
        <v>22</v>
      </c>
      <c r="S4" s="1" t="s">
        <v>21</v>
      </c>
    </row>
    <row r="5" spans="1:19" x14ac:dyDescent="0.3">
      <c r="A5" s="8" t="s">
        <v>1</v>
      </c>
      <c r="B5" s="6">
        <v>1000</v>
      </c>
      <c r="C5" s="6" t="s">
        <v>11</v>
      </c>
      <c r="D5" s="6" t="s">
        <v>12</v>
      </c>
      <c r="E5" s="6">
        <v>600</v>
      </c>
      <c r="F5" s="6">
        <v>400</v>
      </c>
      <c r="G5" s="6" t="s">
        <v>13</v>
      </c>
      <c r="H5" s="6"/>
      <c r="I5" s="6"/>
      <c r="J5" s="6"/>
      <c r="K5" s="6"/>
      <c r="L5" s="7"/>
      <c r="R5" s="1" t="s">
        <v>23</v>
      </c>
      <c r="S5" s="1">
        <f>E5/1000-(F5/1000)</f>
        <v>0.19999999999999996</v>
      </c>
    </row>
    <row r="6" spans="1:19" x14ac:dyDescent="0.3">
      <c r="A6" s="8" t="s">
        <v>2</v>
      </c>
      <c r="B6" s="6">
        <v>100</v>
      </c>
      <c r="C6" s="6" t="s">
        <v>10</v>
      </c>
      <c r="D6" s="6"/>
      <c r="E6" s="6"/>
      <c r="F6" s="6"/>
      <c r="G6" s="6"/>
      <c r="H6" s="6"/>
      <c r="I6" s="6"/>
      <c r="J6" s="6"/>
      <c r="K6" s="6"/>
      <c r="L6" s="7"/>
      <c r="R6" s="1" t="s">
        <v>25</v>
      </c>
      <c r="S6" s="1" t="s">
        <v>26</v>
      </c>
    </row>
    <row r="7" spans="1:19" x14ac:dyDescent="0.3">
      <c r="A7" s="8" t="s">
        <v>3</v>
      </c>
      <c r="B7" s="6">
        <v>60</v>
      </c>
      <c r="C7" s="6" t="s">
        <v>9</v>
      </c>
      <c r="D7" s="9" t="s">
        <v>39</v>
      </c>
      <c r="E7" s="6"/>
      <c r="F7" s="6"/>
      <c r="G7" s="9" t="s">
        <v>56</v>
      </c>
      <c r="H7" s="6"/>
      <c r="I7" s="6"/>
      <c r="J7" s="9" t="s">
        <v>77</v>
      </c>
      <c r="K7" s="6"/>
      <c r="L7" s="7"/>
    </row>
    <row r="8" spans="1:19" x14ac:dyDescent="0.3">
      <c r="A8" s="8" t="s">
        <v>4</v>
      </c>
      <c r="B8" s="6">
        <v>300</v>
      </c>
      <c r="C8" s="6" t="s">
        <v>8</v>
      </c>
      <c r="D8" s="10" t="s">
        <v>40</v>
      </c>
      <c r="E8" s="6"/>
      <c r="F8" s="6"/>
      <c r="G8" s="6" t="s">
        <v>57</v>
      </c>
      <c r="H8" s="6">
        <f>(E9*E22*1000)/100</f>
        <v>1055</v>
      </c>
      <c r="I8" s="6" t="s">
        <v>58</v>
      </c>
      <c r="J8" s="6" t="s">
        <v>78</v>
      </c>
      <c r="K8" s="6"/>
      <c r="L8" s="7"/>
      <c r="R8" s="1" t="s">
        <v>24</v>
      </c>
      <c r="S8" s="1">
        <f>B18</f>
        <v>3.6666666666666665</v>
      </c>
    </row>
    <row r="9" spans="1:19" x14ac:dyDescent="0.3">
      <c r="A9" s="8" t="s">
        <v>5</v>
      </c>
      <c r="B9" s="6">
        <v>25</v>
      </c>
      <c r="C9" s="6" t="s">
        <v>7</v>
      </c>
      <c r="D9" s="6" t="s">
        <v>41</v>
      </c>
      <c r="E9" s="6">
        <v>0.25</v>
      </c>
      <c r="F9" s="6"/>
      <c r="G9" s="6" t="s">
        <v>59</v>
      </c>
      <c r="H9" s="6">
        <f>3.14*(B12/2)^2</f>
        <v>200.96</v>
      </c>
      <c r="I9" s="6" t="s">
        <v>60</v>
      </c>
      <c r="J9" s="6" t="s">
        <v>79</v>
      </c>
      <c r="K9" s="6">
        <f>1.5*B15</f>
        <v>1500</v>
      </c>
      <c r="L9" s="7" t="s">
        <v>11</v>
      </c>
    </row>
    <row r="10" spans="1:19" x14ac:dyDescent="0.3">
      <c r="A10" s="8" t="s">
        <v>6</v>
      </c>
      <c r="B10" s="6">
        <v>500</v>
      </c>
      <c r="C10" s="6" t="s">
        <v>7</v>
      </c>
      <c r="D10" s="6" t="s">
        <v>43</v>
      </c>
      <c r="E10" s="6">
        <v>0.36</v>
      </c>
      <c r="F10" s="6" t="s">
        <v>7</v>
      </c>
      <c r="G10" s="6"/>
      <c r="H10" s="6"/>
      <c r="I10" s="6"/>
      <c r="J10" s="6" t="s">
        <v>80</v>
      </c>
      <c r="K10" s="6">
        <f>K9*10^3/(E5*F5)</f>
        <v>6.25</v>
      </c>
      <c r="L10" s="7" t="s">
        <v>76</v>
      </c>
    </row>
    <row r="11" spans="1:19" x14ac:dyDescent="0.3">
      <c r="A11" s="8" t="s">
        <v>50</v>
      </c>
      <c r="B11" s="6">
        <v>70</v>
      </c>
      <c r="C11" s="6" t="s">
        <v>13</v>
      </c>
      <c r="D11" s="6"/>
      <c r="E11" s="6"/>
      <c r="F11" s="6"/>
      <c r="G11" s="6" t="s">
        <v>61</v>
      </c>
      <c r="H11" s="6">
        <f>(H9/H8)*1000</f>
        <v>190.48341232227489</v>
      </c>
      <c r="I11" s="6" t="s">
        <v>13</v>
      </c>
      <c r="J11" s="6" t="s">
        <v>81</v>
      </c>
      <c r="K11" s="6">
        <f>0.45*B9</f>
        <v>11.25</v>
      </c>
      <c r="L11" s="7" t="s">
        <v>76</v>
      </c>
    </row>
    <row r="12" spans="1:19" x14ac:dyDescent="0.3">
      <c r="A12" s="8" t="s">
        <v>14</v>
      </c>
      <c r="B12" s="6">
        <v>16</v>
      </c>
      <c r="C12" s="6" t="s">
        <v>13</v>
      </c>
      <c r="D12" s="6" t="s">
        <v>44</v>
      </c>
      <c r="E12" s="6">
        <f>(B30*((B21-(E5/1000))/2)/((E10*1000)+B30))*1000</f>
        <v>389.10505836575868</v>
      </c>
      <c r="F12" s="6" t="s">
        <v>13</v>
      </c>
      <c r="G12" s="11" t="s">
        <v>63</v>
      </c>
      <c r="H12" s="12">
        <v>180</v>
      </c>
      <c r="I12" s="6" t="s">
        <v>13</v>
      </c>
      <c r="J12" s="13" t="str">
        <f>IF(K10&lt;K11,"Safe ","Not okay")</f>
        <v xml:space="preserve">Safe </v>
      </c>
      <c r="K12" s="6"/>
      <c r="L12" s="7"/>
    </row>
    <row r="13" spans="1:19" x14ac:dyDescent="0.3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9" x14ac:dyDescent="0.3">
      <c r="A14" s="14" t="s">
        <v>15</v>
      </c>
      <c r="B14" s="6"/>
      <c r="C14" s="6"/>
      <c r="D14" s="9" t="s">
        <v>45</v>
      </c>
      <c r="E14" s="6"/>
      <c r="F14" s="6"/>
      <c r="G14" s="6" t="s">
        <v>62</v>
      </c>
      <c r="H14" s="6"/>
      <c r="I14" s="6"/>
      <c r="J14" s="6" t="s">
        <v>82</v>
      </c>
      <c r="K14" s="6"/>
      <c r="L14" s="7"/>
    </row>
    <row r="15" spans="1:19" x14ac:dyDescent="0.3">
      <c r="A15" s="8" t="s">
        <v>16</v>
      </c>
      <c r="B15" s="6">
        <f>B5</f>
        <v>1000</v>
      </c>
      <c r="C15" s="6" t="s">
        <v>11</v>
      </c>
      <c r="D15" s="6" t="s">
        <v>46</v>
      </c>
      <c r="E15" s="6">
        <f>(B30*((B21-(E5/1000))/2)^2)/2</f>
        <v>109.09090909090911</v>
      </c>
      <c r="F15" s="6" t="s">
        <v>47</v>
      </c>
      <c r="G15" s="6" t="s">
        <v>64</v>
      </c>
      <c r="H15" s="6">
        <f>H8*B21</f>
        <v>2321</v>
      </c>
      <c r="I15" s="6" t="s">
        <v>65</v>
      </c>
      <c r="J15" s="6" t="s">
        <v>83</v>
      </c>
      <c r="K15" s="6"/>
      <c r="L15" s="7"/>
    </row>
    <row r="16" spans="1:19" x14ac:dyDescent="0.3">
      <c r="A16" s="8" t="s">
        <v>17</v>
      </c>
      <c r="B16" s="6">
        <f>0.1*B15</f>
        <v>100</v>
      </c>
      <c r="C16" s="6" t="s">
        <v>11</v>
      </c>
      <c r="D16" s="6" t="s">
        <v>48</v>
      </c>
      <c r="E16" s="6">
        <f>SQRT(E15*10^6/(0.1389*B9*1000))</f>
        <v>177.24465736573458</v>
      </c>
      <c r="F16" s="6" t="s">
        <v>13</v>
      </c>
      <c r="G16" s="6" t="s">
        <v>66</v>
      </c>
      <c r="H16" s="15">
        <f>H15/H9</f>
        <v>11.549562101910828</v>
      </c>
      <c r="I16" s="6"/>
      <c r="J16" s="6"/>
      <c r="K16" s="6"/>
      <c r="L16" s="7"/>
    </row>
    <row r="17" spans="1:12" x14ac:dyDescent="0.3">
      <c r="A17" s="8" t="s">
        <v>18</v>
      </c>
      <c r="B17" s="6">
        <f>B15+B16</f>
        <v>1100</v>
      </c>
      <c r="C17" s="6" t="s">
        <v>11</v>
      </c>
      <c r="D17" s="6"/>
      <c r="E17" s="6"/>
      <c r="F17" s="6"/>
      <c r="G17" s="6" t="s">
        <v>67</v>
      </c>
      <c r="H17" s="16">
        <f>H16+1</f>
        <v>12.549562101910828</v>
      </c>
      <c r="I17" s="6"/>
      <c r="J17" s="6"/>
      <c r="K17" s="6"/>
      <c r="L17" s="7"/>
    </row>
    <row r="18" spans="1:12" x14ac:dyDescent="0.3">
      <c r="A18" s="8" t="s">
        <v>19</v>
      </c>
      <c r="B18" s="6">
        <f>B17/B8</f>
        <v>3.6666666666666665</v>
      </c>
      <c r="C18" s="6" t="s">
        <v>20</v>
      </c>
      <c r="D18" s="6" t="s">
        <v>48</v>
      </c>
      <c r="E18" s="6">
        <f>MAX(E12,E16)</f>
        <v>389.10505836575868</v>
      </c>
      <c r="F18" s="6" t="s">
        <v>13</v>
      </c>
      <c r="G18" s="6"/>
      <c r="H18" s="6"/>
      <c r="I18" s="6"/>
      <c r="J18" s="6"/>
      <c r="K18" s="6"/>
      <c r="L18" s="7"/>
    </row>
    <row r="19" spans="1:12" x14ac:dyDescent="0.3">
      <c r="A19" s="8" t="s">
        <v>27</v>
      </c>
      <c r="B19" s="6">
        <f>SQRT(B18)</f>
        <v>1.9148542155126762</v>
      </c>
      <c r="C19" s="6" t="s">
        <v>28</v>
      </c>
      <c r="D19" s="6" t="s">
        <v>49</v>
      </c>
      <c r="E19" s="6">
        <f>E18+B11+(B12/2)</f>
        <v>467.10505836575868</v>
      </c>
      <c r="F19" s="6" t="s">
        <v>13</v>
      </c>
      <c r="G19" s="6"/>
      <c r="H19" s="6"/>
      <c r="I19" s="6"/>
      <c r="J19" s="6"/>
      <c r="K19" s="6"/>
      <c r="L19" s="7"/>
    </row>
    <row r="20" spans="1:12" x14ac:dyDescent="0.3">
      <c r="A20" s="8" t="s">
        <v>29</v>
      </c>
      <c r="B20" s="6">
        <v>2</v>
      </c>
      <c r="C20" s="6" t="s">
        <v>28</v>
      </c>
      <c r="D20" s="6"/>
      <c r="E20" s="6"/>
      <c r="F20" s="6"/>
      <c r="G20" s="6"/>
      <c r="H20" s="6"/>
      <c r="I20" s="6"/>
      <c r="J20" s="6"/>
      <c r="K20" s="6"/>
      <c r="L20" s="7"/>
    </row>
    <row r="21" spans="1:12" x14ac:dyDescent="0.3">
      <c r="A21" s="8" t="s">
        <v>30</v>
      </c>
      <c r="B21" s="6">
        <v>2.2000000000000002</v>
      </c>
      <c r="C21" s="6" t="s">
        <v>28</v>
      </c>
      <c r="D21" s="17" t="s">
        <v>51</v>
      </c>
      <c r="E21" s="6">
        <v>500</v>
      </c>
      <c r="F21" s="6" t="s">
        <v>13</v>
      </c>
      <c r="G21" s="6"/>
      <c r="H21" s="6"/>
      <c r="I21" s="6"/>
      <c r="J21" s="6"/>
      <c r="K21" s="6"/>
      <c r="L21" s="7"/>
    </row>
    <row r="22" spans="1:12" x14ac:dyDescent="0.3">
      <c r="A22" s="18" t="str">
        <f>IF(B20*B21&lt;B19,"Fails in SBC","SAFE")</f>
        <v>SAFE</v>
      </c>
      <c r="B22" s="6"/>
      <c r="C22" s="6"/>
      <c r="D22" s="6" t="s">
        <v>52</v>
      </c>
      <c r="E22" s="6">
        <f>E21-B11-(B12/2)</f>
        <v>422</v>
      </c>
      <c r="F22" s="6" t="s">
        <v>13</v>
      </c>
      <c r="G22" s="6"/>
      <c r="H22" s="6"/>
      <c r="I22" s="6"/>
      <c r="J22" s="6"/>
      <c r="K22" s="6"/>
      <c r="L22" s="7"/>
    </row>
    <row r="23" spans="1:12" x14ac:dyDescent="0.3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</row>
    <row r="24" spans="1:12" x14ac:dyDescent="0.3">
      <c r="A24" s="19" t="s">
        <v>31</v>
      </c>
      <c r="B24" s="6"/>
      <c r="C24" s="6"/>
      <c r="D24" s="20" t="s">
        <v>53</v>
      </c>
      <c r="E24" s="6"/>
      <c r="F24" s="6"/>
      <c r="G24" s="9" t="s">
        <v>68</v>
      </c>
      <c r="H24" s="6"/>
      <c r="I24" s="6"/>
      <c r="J24" s="6"/>
      <c r="K24" s="6"/>
      <c r="L24" s="7"/>
    </row>
    <row r="25" spans="1:12" x14ac:dyDescent="0.3">
      <c r="A25" s="8" t="s">
        <v>32</v>
      </c>
      <c r="B25" s="6">
        <f>B17/(B20*B21)</f>
        <v>249.99999999999997</v>
      </c>
      <c r="C25" s="6" t="s">
        <v>8</v>
      </c>
      <c r="D25" s="6" t="s">
        <v>54</v>
      </c>
      <c r="E25" s="6">
        <f>E15*10^6/(1000*E22^2)</f>
        <v>0.61258119253222698</v>
      </c>
      <c r="F25" s="6"/>
      <c r="G25" s="6" t="s">
        <v>74</v>
      </c>
      <c r="H25" s="6">
        <f>B30*(((B21-(E5/1000))/2)-(E22/1000))</f>
        <v>128.86363636363637</v>
      </c>
      <c r="I25" s="6" t="s">
        <v>11</v>
      </c>
      <c r="J25" s="6"/>
      <c r="K25" s="6"/>
      <c r="L25" s="7"/>
    </row>
    <row r="26" spans="1:12" x14ac:dyDescent="0.3">
      <c r="A26" s="18" t="str">
        <f>IF(B25&lt;B8,"SAFE","FAILS IN SBC")</f>
        <v>SAFE</v>
      </c>
      <c r="B26" s="6"/>
      <c r="C26" s="6"/>
      <c r="D26" s="6" t="s">
        <v>55</v>
      </c>
      <c r="E26" s="6">
        <f>(B9/(2*B10))*(1-SQRT(1-((4.598*E25)/B9)))*(100)</f>
        <v>0.14503972025339568</v>
      </c>
      <c r="F26" s="6"/>
      <c r="G26" s="6" t="s">
        <v>69</v>
      </c>
      <c r="H26" s="6">
        <f>H25*10^3/(1000*E22)</f>
        <v>0.30536406721240844</v>
      </c>
      <c r="I26" s="6"/>
      <c r="J26" s="6"/>
      <c r="K26" s="6"/>
      <c r="L26" s="7"/>
    </row>
    <row r="27" spans="1:12" x14ac:dyDescent="0.3">
      <c r="A27" s="18"/>
      <c r="B27" s="6"/>
      <c r="C27" s="6"/>
      <c r="D27" s="6"/>
      <c r="E27" s="6"/>
      <c r="F27" s="6"/>
      <c r="G27" s="13" t="str">
        <f>IF(H26&lt;E10,"Safe for One way shear","Change D")</f>
        <v>Safe for One way shear</v>
      </c>
      <c r="H27" s="6"/>
      <c r="I27" s="6"/>
      <c r="J27" s="6"/>
      <c r="K27" s="6"/>
      <c r="L27" s="7"/>
    </row>
    <row r="28" spans="1:12" x14ac:dyDescent="0.3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</row>
    <row r="29" spans="1:12" x14ac:dyDescent="0.3">
      <c r="A29" s="14" t="s">
        <v>33</v>
      </c>
      <c r="B29" s="6"/>
      <c r="C29" s="6"/>
      <c r="D29" s="13" t="str">
        <f>IF(E26&lt;E9,"provide assumed pt as reinforecment","change D")</f>
        <v>provide assumed pt as reinforecment</v>
      </c>
      <c r="E29" s="6"/>
      <c r="F29" s="6"/>
      <c r="G29" s="9" t="s">
        <v>70</v>
      </c>
      <c r="H29" s="6"/>
      <c r="I29" s="6"/>
      <c r="J29" s="6"/>
      <c r="K29" s="6"/>
      <c r="L29" s="7"/>
    </row>
    <row r="30" spans="1:12" x14ac:dyDescent="0.3">
      <c r="A30" s="8" t="s">
        <v>34</v>
      </c>
      <c r="B30" s="6">
        <f>1.5*B15/(B20*B21)</f>
        <v>340.90909090909088</v>
      </c>
      <c r="C30" s="6" t="s">
        <v>8</v>
      </c>
      <c r="D30" s="6"/>
      <c r="E30" s="6"/>
      <c r="F30" s="6"/>
      <c r="G30" s="6" t="s">
        <v>71</v>
      </c>
      <c r="H30" s="6">
        <f>E5+E22</f>
        <v>1022</v>
      </c>
      <c r="I30" s="6"/>
      <c r="J30" s="6"/>
      <c r="K30" s="6"/>
      <c r="L30" s="7"/>
    </row>
    <row r="31" spans="1:12" x14ac:dyDescent="0.3">
      <c r="A31" s="8"/>
      <c r="B31" s="6"/>
      <c r="C31" s="6"/>
      <c r="D31" s="6"/>
      <c r="E31" s="6"/>
      <c r="F31" s="6"/>
      <c r="G31" s="6" t="s">
        <v>72</v>
      </c>
      <c r="H31" s="6">
        <f>F5+E22</f>
        <v>822</v>
      </c>
      <c r="I31" s="6"/>
      <c r="J31" s="6"/>
      <c r="K31" s="6"/>
      <c r="L31" s="7"/>
    </row>
    <row r="32" spans="1:12" x14ac:dyDescent="0.3">
      <c r="A32" s="8" t="s">
        <v>35</v>
      </c>
      <c r="B32" s="6">
        <f>(B15/(B20*B21))+(B6/((B21)*(B20^2)/6))+(B7/((B20)*(B21^2)/6))</f>
        <v>332.64462809917353</v>
      </c>
      <c r="C32" s="6"/>
      <c r="D32" s="6"/>
      <c r="E32" s="6"/>
      <c r="F32" s="6"/>
      <c r="G32" s="6" t="s">
        <v>73</v>
      </c>
      <c r="H32" s="6">
        <f>1.5*B15-B30*(H30/1000)*(H31/1000)</f>
        <v>1213.6077272727273</v>
      </c>
      <c r="I32" s="6" t="s">
        <v>11</v>
      </c>
      <c r="J32" s="6"/>
      <c r="K32" s="6"/>
      <c r="L32" s="7"/>
    </row>
    <row r="33" spans="1:12" x14ac:dyDescent="0.3">
      <c r="A33" s="8" t="s">
        <v>36</v>
      </c>
      <c r="B33" s="6">
        <f>(B15/(B20*B21))-(B6/((B21)*(B20^2)/6))-(B7/((B20)*(B21^2)/6))</f>
        <v>121.90082644628097</v>
      </c>
      <c r="C33" s="6"/>
      <c r="D33" s="6"/>
      <c r="E33" s="6"/>
      <c r="F33" s="6"/>
      <c r="G33" s="6" t="s">
        <v>69</v>
      </c>
      <c r="H33" s="6">
        <f>H32*10^3/((2*(H30+H31))*E22)</f>
        <v>0.77978516674595155</v>
      </c>
      <c r="I33" s="6" t="s">
        <v>76</v>
      </c>
      <c r="J33" s="6"/>
      <c r="K33" s="6"/>
      <c r="L33" s="7"/>
    </row>
    <row r="34" spans="1:12" x14ac:dyDescent="0.3">
      <c r="A34" s="19" t="s">
        <v>37</v>
      </c>
      <c r="B34" s="6"/>
      <c r="C34" s="6"/>
      <c r="D34" s="6"/>
      <c r="E34" s="6"/>
      <c r="F34" s="6"/>
      <c r="G34" s="6" t="s">
        <v>75</v>
      </c>
      <c r="H34" s="6">
        <f>0.25*SQRT(B9)</f>
        <v>1.25</v>
      </c>
      <c r="I34" s="6" t="s">
        <v>76</v>
      </c>
      <c r="J34" s="6"/>
      <c r="K34" s="6"/>
      <c r="L34" s="7"/>
    </row>
    <row r="35" spans="1:12" x14ac:dyDescent="0.3">
      <c r="A35" s="21" t="s">
        <v>38</v>
      </c>
      <c r="B35" s="22" t="str">
        <f>IF(B33&lt;0,"Tension will occur","Okay")</f>
        <v>Okay</v>
      </c>
      <c r="C35" s="23"/>
      <c r="D35" s="23"/>
      <c r="E35" s="23"/>
      <c r="F35" s="23"/>
      <c r="G35" s="24" t="str">
        <f>IF(H33&lt;H34,"Safe for Two way shear","not okay")</f>
        <v>Safe for Two way shear</v>
      </c>
      <c r="H35" s="23"/>
      <c r="I35" s="23"/>
      <c r="J35" s="23"/>
      <c r="K35" s="23"/>
      <c r="L3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Jetla Chandu</dc:creator>
  <cp:lastModifiedBy>Jetla Chandu</cp:lastModifiedBy>
  <dcterms:created xsi:type="dcterms:W3CDTF">2025-07-27T03:29:38Z</dcterms:created>
  <dcterms:modified xsi:type="dcterms:W3CDTF">2025-07-30T19:01:10Z</dcterms:modified>
</cp:coreProperties>
</file>